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6c321a16744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72705d4393c44ca5"/>
    <x:sheet xmlns:r="http://schemas.openxmlformats.org/officeDocument/2006/relationships" name="Hypothèses" sheetId="2" r:id="R0c2256084f4a4736"/>
    <x:sheet xmlns:r="http://schemas.openxmlformats.org/officeDocument/2006/relationships" name="Prudent" sheetId="3" r:id="R670f9fa574c3484b"/>
    <x:sheet xmlns:r="http://schemas.openxmlformats.org/officeDocument/2006/relationships" name="Base" sheetId="4" r:id="Rb9a86b7dac204022"/>
    <x:sheet xmlns:r="http://schemas.openxmlformats.org/officeDocument/2006/relationships" name="Ambitieux" sheetId="5" r:id="Rdfa3de116150437d"/>
    <x:sheet xmlns:r="http://schemas.openxmlformats.org/officeDocument/2006/relationships" name="Sources" sheetId="6" r:id="R90333a21279e4f27"/>
    <x:sheet xmlns:r="http://schemas.openxmlformats.org/officeDocument/2006/relationships" name="Validation produit" sheetId="7" r:id="R7e4f81fb505d4435"/>
    <x:sheet xmlns:r="http://schemas.openxmlformats.org/officeDocument/2006/relationships" name="Acquisition" sheetId="8" r:id="R102a5f3eafe446ed"/>
    <x:sheet xmlns:r="http://schemas.openxmlformats.org/officeDocument/2006/relationships" name="Cohortes MAU" sheetId="9" r:id="R2b9026bb001149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yyyy-mm-dd"/>
    <x:numFmt numFmtId="201" formatCode="#,##0;[Red](#,##0);-"/>
    <x:numFmt numFmtId="202" formatCode="€#,##0.00;[Red](€#,##0.00);-"/>
    <x:numFmt numFmtId="203" formatCode="0.0%;[Red](0.0%);-"/>
    <x:numFmt numFmtId="204" formatCode="€#,##0;[Red](€#,##0);-"/>
    <x:numFmt numFmtId="205" formatCode="#,##0.0;[Red](#,##0.0);-"/>
    <x:numFmt numFmtId="206" formatCode="mmm-yy"/>
    <x:numFmt numFmtId="207" formatCode="0.0%"/>
    <x:numFmt numFmtId="208" formatCode="0.0 &quot;s&quot;"/>
    <x:numFmt numFmtId="209" formatCode="0"/>
    <x:numFmt numFmtId="210" formatCode="€0.00"/>
  </x:numFmts>
  <x:fonts count="11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666666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008000"/>
      <x:name val="Carlito"/>
    </x:font>
    <x:font>
      <x:sz val="11"/>
      <x:color rgb="FF008000"/>
      <x:name val="Carlito"/>
    </x:font>
    <x:font>
      <x:b/>
      <x:sz val="1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34A68"/>
      </x:patternFill>
    </x:fill>
    <x:fill>
      <x:patternFill patternType="solid">
        <x:fgColor rgb="FFFFF2CC"/>
      </x:patternFill>
    </x:fill>
    <x:fill>
      <x:patternFill patternType="solid">
        <x:fgColor rgb="FFEAF0F5"/>
      </x:patternFill>
    </x:fill>
    <x:fill>
      <x:patternFill patternType="solid">
        <x:fgColor rgb="FFF7F8FA"/>
      </x:patternFill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234A68"/>
      </x:patternFill>
    </x:fill>
    <x:fill>
      <x:patternFill patternType="solid">
        <x:fgColor rgb="FFE2F0D9"/>
      </x:patternFill>
    </x:fill>
    <x:fill>
      <x:patternFill patternType="solid">
        <x:fgColor rgb="FF234A6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1" xfId="0" applyNumberFormat="1" applyFont="1" applyFill="1" applyBorder="1"/>
    <x:xf numFmtId="203" fontId="3" fillId="4" borderId="0" xfId="0" applyNumberFormat="1" applyFont="1" applyFill="1" applyBorder="1"/>
    <x:xf numFmtId="203" fontId="3" fillId="4" borderId="1" xfId="0" applyNumberFormat="1" applyFont="1" applyFill="1" applyBorder="1"/>
    <x:xf numFmtId="204" fontId="3" fillId="4" borderId="0" xfId="0" applyNumberFormat="1" applyFont="1" applyFill="1" applyBorder="1"/>
    <x:xf numFmtId="204" fontId="3" fillId="4" borderId="1" xfId="0" applyNumberFormat="1" applyFont="1" applyFill="1" applyBorder="1"/>
    <x:xf numFmtId="205" fontId="3" fillId="4" borderId="0" xfId="0" applyNumberFormat="1" applyFont="1" applyFill="1" applyBorder="1"/>
    <x:xf numFmtId="205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6" fontId="4" fillId="0" borderId="0" xfId="0" applyNumberFormat="1" applyFont="1" applyFill="1" applyBorder="1"/>
    <x:xf numFmtId="201" fontId="4" fillId="0" borderId="0" xfId="0" applyNumberFormat="1" applyFont="1" applyFill="1" applyBorder="1"/>
    <x:xf numFmtId="204" fontId="4" fillId="0" borderId="0" xfId="0" applyNumberFormat="1" applyFont="1" applyFill="1" applyBorder="1"/>
    <x:xf numFmtId="206" fontId="4" fillId="0" borderId="1" xfId="0" applyNumberFormat="1" applyFont="1" applyFill="1" applyBorder="1"/>
    <x:xf numFmtId="201" fontId="4" fillId="0" borderId="1" xfId="0" applyNumberFormat="1" applyFont="1" applyFill="1" applyBorder="1"/>
    <x:xf numFmtId="204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6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204" fontId="4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6" fontId="4" fillId="0" borderId="1" xfId="0" applyNumberFormat="1" applyFont="1" applyFill="1" applyBorder="1" applyAlignment="1">
      <x:alignment wrapText="1"/>
    </x:xf>
    <x:xf numFmtId="201" fontId="4" fillId="0" borderId="1" xfId="0" applyNumberFormat="1" applyFont="1" applyFill="1" applyBorder="1" applyAlignment="1">
      <x:alignment wrapText="1"/>
    </x:xf>
    <x:xf numFmtId="204" fontId="4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204" fontId="8" fillId="0" borderId="0" xfId="0" applyNumberFormat="1" applyFont="1" applyFill="1" applyBorder="1"/>
    <x:xf numFmtId="204" fontId="8" fillId="0" borderId="1" xfId="0" applyNumberFormat="1" applyFont="1" applyFill="1" applyBorder="1"/>
    <x:xf numFmtId="202" fontId="8" fillId="0" borderId="0" xfId="0" applyNumberFormat="1" applyFont="1" applyFill="1" applyBorder="1"/>
    <x:xf numFmtId="202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1" fontId="9" fillId="0" borderId="0" xfId="0" applyNumberFormat="1" applyFont="1" applyFill="1" applyBorder="1"/>
    <x:xf numFmtId="201" fontId="9" fillId="0" borderId="1" xfId="0" applyNumberFormat="1" applyFont="1" applyFill="1" applyBorder="1"/>
    <x:xf numFmtId="204" fontId="9" fillId="0" borderId="0" xfId="0" applyNumberFormat="1" applyFont="1" applyFill="1" applyBorder="1"/>
    <x:xf numFmtId="204" fontId="9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7" fontId="0" fillId="0" borderId="0" xfId="0" applyNumberFormat="1" applyFont="1" applyFill="1" applyBorder="1" applyAlignment="1">
      <x:alignment wrapText="1"/>
    </x:xf>
    <x:xf numFmtId="203" fontId="3" fillId="7" borderId="0" xfId="0" applyNumberFormat="1" applyFont="1" applyFill="1" applyBorder="1"/>
    <x:xf numFmtId="207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208" fontId="3" fillId="7" borderId="0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7" fontId="4" fillId="0" borderId="0" xfId="0" applyNumberFormat="1" applyFont="1" applyFill="1" applyBorder="1"/>
    <x:xf numFmtId="208" fontId="4" fillId="0" borderId="0" xfId="0" applyNumberFormat="1" applyFont="1" applyFill="1" applyBorder="1"/>
    <x:xf numFmtId="202" fontId="0" fillId="0" borderId="0" xfId="0" applyNumberFormat="1" applyFont="1" applyFill="1" applyBorder="1"/>
    <x:xf numFmtId="209" fontId="0" fillId="0" borderId="0" xfId="0" applyNumberFormat="1" applyFont="1" applyFill="1" applyBorder="1"/>
    <x:xf numFmtId="202" fontId="9" fillId="0" borderId="0" xfId="0" applyNumberFormat="1" applyFont="1" applyFill="1" applyBorder="1"/>
    <x:xf numFmtId="209" fontId="9" fillId="0" borderId="0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207" fontId="4" fillId="0" borderId="0" xfId="0" applyNumberFormat="1" applyFont="1" applyFill="1" applyBorder="1" applyAlignment="1">
      <x:alignment wrapText="1"/>
    </x:xf>
    <x:xf numFmtId="208" fontId="3" fillId="7" borderId="0" xfId="0" applyNumberFormat="1" applyFont="1" applyFill="1" applyBorder="1" applyAlignment="1">
      <x:alignment wrapText="1"/>
    </x:xf>
    <x:xf numFmtId="208" fontId="4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209" fontId="9" fillId="0" borderId="0" xfId="0" applyNumberFormat="1" applyFont="1" applyFill="1" applyBorder="1" applyAlignment="1">
      <x:alignment wrapText="1"/>
    </x:xf>
    <x:xf numFmtId="204" fontId="3" fillId="7" borderId="0" xfId="0" applyNumberFormat="1" applyFont="1" applyFill="1" applyBorder="1"/>
    <x:xf numFmtId="210" fontId="3" fillId="7" borderId="0" xfId="0" applyNumberFormat="1" applyFont="1" applyFill="1" applyBorder="1"/>
    <x:xf numFmtId="205" fontId="0" fillId="0" borderId="0" xfId="0" applyNumberFormat="1" applyFont="1" applyFill="1" applyBorder="1"/>
    <x:xf numFmtId="207" fontId="9" fillId="0" borderId="0" xfId="0" applyNumberFormat="1" applyFont="1" applyFill="1" applyBorder="1"/>
    <x:xf numFmtId="210" fontId="0" fillId="0" borderId="0" xfId="0" applyNumberFormat="1" applyFont="1" applyFill="1" applyBorder="1"/>
    <x:xf numFmtId="208" fontId="9" fillId="0" borderId="0" xfId="0" applyNumberFormat="1" applyFont="1" applyFill="1" applyBorder="1"/>
    <x:xf numFmtId="210" fontId="9" fillId="0" borderId="0" xfId="0" applyNumberFormat="1" applyFont="1" applyFill="1" applyBorder="1"/>
    <x:xf numFmtId="207" fontId="9" fillId="0" borderId="0" xfId="0" applyNumberFormat="1" applyFont="1" applyFill="1" applyBorder="1" applyAlignment="1">
      <x:alignment wrapText="1"/>
    </x:xf>
    <x:xf numFmtId="208" fontId="9" fillId="0" borderId="0" xfId="0" applyNumberFormat="1" applyFont="1" applyFill="1" applyBorder="1" applyAlignment="1">
      <x:alignment wrapText="1"/>
    </x:xf>
    <x:xf numFmtId="21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204" fontId="3" fillId="7" borderId="0" xfId="0" applyNumberFormat="1" applyFont="1" applyFill="1" applyBorder="1" applyAlignment="1">
      <x:alignment wrapText="1"/>
    </x:xf>
    <x:xf numFmtId="210" fontId="3" fillId="7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7" fontId="3" fillId="7" borderId="0" xfId="0" applyNumberFormat="1" applyFont="1" applyFill="1" applyBorder="1" applyAlignment="1">
      <x:alignment wrapText="1"/>
    </x:xf>
    <x:xf numFmtId="207" fontId="3" fillId="4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8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8" fontId="3" fillId="4" borderId="0" xfId="0" applyNumberFormat="1" applyFont="1" applyFill="1" applyBorder="1" applyAlignment="1">
      <x:alignment wrapText="1"/>
    </x:xf>
    <x:xf numFmtId="210" fontId="3" fillId="4" borderId="0" xfId="0" applyNumberFormat="1" applyFont="1" applyFill="1" applyBorder="1"/>
    <x:xf numFmtId="204" fontId="3" fillId="4" borderId="0" xfId="0" applyNumberFormat="1" applyFont="1" applyFill="1" applyBorder="1" applyAlignment="1">
      <x:alignment wrapText="1"/>
    </x:xf>
    <x:xf numFmtId="210" fontId="3" fillId="4" borderId="0" xfId="0" applyNumberFormat="1" applyFont="1" applyFill="1" applyBorder="1" applyAlignment="1">
      <x:alignment wrapText="1"/>
    </x:xf>
    <x:xf numFmtId="207" fontId="3" fillId="4" borderId="0" xfId="0" applyNumberFormat="1" applyFont="1" applyFill="1" applyBorder="1" applyAlignment="1">
      <x:alignment wrapText="1"/>
    </x:xf>
    <x:xf numFmtId="205" fontId="2" fillId="2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C00000"/>
      </x:font>
      <x:fill>
        <x:patternFill>
          <x:bgColor rgb="FFFCE8E6"/>
        </x:patternFill>
      </x:fill>
    </x:dxf>
    <x:dxf>
      <x:font>
        <x:color rgb="FFC00000"/>
      </x:font>
      <x:fill>
        <x:patternFill>
          <x:bgColor rgb="FFFCE8E6"/>
        </x:patternFill>
      </x:fill>
    </x:dxf>
    <x:dxf>
      <x:font>
        <x:color rgb="FFC00000"/>
      </x:font>
      <x:fill>
        <x:patternFill>
          <x:bgColor rgb="FFFCE8E6"/>
        </x:patternFill>
      </x:fill>
    </x:dxf>
    <x:dxf>
      <x:font>
        <x:color rgb="FFC00000"/>
      </x:font>
      <x:fill>
        <x:patternFill>
          <x:bgColor rgb="FFFCE8E6"/>
        </x:patternFill>
      </x:fill>
    </x:dxf>
    <x:dxf>
      <x:font>
        <x:color rgb="FFC00000"/>
      </x:font>
      <x:fill>
        <x:patternFill>
          <x:bgColor rgb="FFFCE8E6"/>
        </x:patternFill>
      </x:fill>
    </x:dxf>
    <x:dxf>
      <x:font>
        <x:color rgb="FFC00000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4715fe46841c6" /><Relationship Type="http://schemas.openxmlformats.org/officeDocument/2006/relationships/theme" Target="/xl/theme/theme1.xml" Id="Rfcf4f0955d754196" /><Relationship Type="http://schemas.openxmlformats.org/officeDocument/2006/relationships/sharedStrings" Target="/xl/sharedStrings.xml" Id="R98c408b6dc654e11" /><Relationship Type="http://schemas.openxmlformats.org/officeDocument/2006/relationships/worksheet" Target="/xl/worksheets/sheet1.xml" Id="R72705d4393c44ca5" /><Relationship Type="http://schemas.openxmlformats.org/officeDocument/2006/relationships/worksheet" Target="/xl/worksheets/sheet2.xml" Id="R0c2256084f4a4736" /><Relationship Type="http://schemas.openxmlformats.org/officeDocument/2006/relationships/worksheet" Target="/xl/worksheets/sheet3.xml" Id="R670f9fa574c3484b" /><Relationship Type="http://schemas.openxmlformats.org/officeDocument/2006/relationships/worksheet" Target="/xl/worksheets/sheet4.xml" Id="Rb9a86b7dac204022" /><Relationship Type="http://schemas.openxmlformats.org/officeDocument/2006/relationships/worksheet" Target="/xl/worksheets/sheet5.xml" Id="Rdfa3de116150437d" /><Relationship Type="http://schemas.openxmlformats.org/officeDocument/2006/relationships/worksheet" Target="/xl/worksheets/sheet6.xml" Id="R90333a21279e4f27" /><Relationship Type="http://schemas.openxmlformats.org/officeDocument/2006/relationships/worksheet" Target="/xl/worksheets/sheet7.xml" Id="R7e4f81fb505d4435" /><Relationship Type="http://schemas.openxmlformats.org/officeDocument/2006/relationships/worksheet" Target="/xl/worksheets/sheet8.xml" Id="R102a5f3eafe446ed" /><Relationship Type="http://schemas.openxmlformats.org/officeDocument/2006/relationships/worksheet" Target="/xl/worksheets/sheet9.xml" Id="R2b9026bb001149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9fee790ffb457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Revenu net</c:v>
          </c:tx>
          <c:marker>
            <c:symbol val="none"/>
          </c:marker>
          <c:cat>
            <c:strRef>
              <c:f>'Base'!$B$4:$B$39</c:f>
              <c:strCache>
                <c:ptCount val="0"/>
              </c:strCache>
            </c:strRef>
          </c:cat>
          <c:val>
            <c:numRef>
              <c:f>'Base'!$N$4:$N$39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Résultat opérationnel</c:v>
          </c:tx>
          <c:marker>
            <c:symbol val="none"/>
          </c:marker>
          <c:cat>
            <c:strRef>
              <c:f>'Base'!$B$4:$B$39</c:f>
              <c:strCache>
                <c:ptCount val="0"/>
              </c:strCache>
            </c:strRef>
          </c:cat>
          <c:val>
            <c:numRef>
              <c:f>'Base'!$X$4:$X$39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9fee790ffb457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2fd199b0674810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26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58" t="str">
        <x:v>WHERIS — Prévisionnel financier 36 mois — V0.3</x:v>
      </x:c>
      <x:c r="B1" s="58"/>
      <x:c r="C1" s="58"/>
      <x:c r="D1" s="58"/>
      <x:c r="E1" s="58"/>
      <x:c r="F1" s="58"/>
      <x:c r="G1" s="58"/>
      <x:c r="H1" s="58"/>
      <x:c r="I1" s="58"/>
      <x:c r="J1" s="58"/>
    </x:row>
    <x:row r="2">
      <x:c r="A2" s="62" t="str">
        <x:v>Scénario de référence : Base. Modèle de trésorerie simplifié avant impôt sur les sociétés; M1 = première version publique monétisée.</x:v>
      </x:c>
      <x:c r="B2" s="62"/>
      <x:c r="C2" s="62"/>
      <x:c r="D2" s="62"/>
      <x:c r="E2" s="62"/>
      <x:c r="F2" s="62"/>
      <x:c r="G2" s="62"/>
      <x:c r="H2" s="62"/>
      <x:c r="I2" s="62"/>
      <x:c r="J2" s="62"/>
    </x:row>
    <x:row r="4">
      <x:c r="A4" s="9" t="str">
        <x:v>KPIs — scénario Base</x:v>
      </x:c>
      <x:c r="B4" s="9"/>
      <x:c r="C4" s="9"/>
      <x:c r="D4" s="9"/>
    </x:row>
    <x:row r="5">
      <x:c r="A5" t="str">
        <x:v>Installations 36 mois</x:v>
      </x:c>
      <x:c r="B5" s="68" t="n">
        <x:f>SUM(Base!C4:C39)</x:f>
        <x:v>267976.99337909796</x:v>
      </x:c>
      <x:c r="C5" t="str">
        <x:v>installations</x:v>
      </x:c>
    </x:row>
    <x:row r="6">
      <x:c r="A6" t="str">
        <x:v>Achats Plus 36 mois</x:v>
      </x:c>
      <x:c r="B6" s="68" t="n">
        <x:f>SUM(Base!F4:F39)</x:f>
        <x:v>5962.711386436415</x:v>
      </x:c>
      <x:c r="C6" t="str">
        <x:v>clients</x:v>
      </x:c>
    </x:row>
    <x:row r="7">
      <x:c r="A7" t="str">
        <x:v>Nouveaux Premium / upgrades 36 mois</x:v>
      </x:c>
      <x:c r="B7" s="68" t="n">
        <x:f>SUM(Base!H4:I39)</x:f>
        <x:v>1161.6458771284263</x:v>
      </x:c>
      <x:c r="C7" t="str">
        <x:v>événements</x:v>
      </x:c>
    </x:row>
    <x:row r="8">
      <x:c r="A8" t="str">
        <x:v>Revenu net 36 mois</x:v>
      </x:c>
      <x:c r="B8" s="70" t="n">
        <x:f>SUM(Base!N4:N39)</x:f>
        <x:v>114096.68047775391</x:v>
      </x:c>
      <x:c r="C8" t="str">
        <x:v>€</x:v>
      </x:c>
    </x:row>
    <x:row r="9">
      <x:c r="A9" t="str">
        <x:v>Contribution produit avant fondateur</x:v>
      </x:c>
      <x:c r="B9" s="70" t="n">
        <x:f>SUM(Base!V4:V39)</x:f>
        <x:v>70734.38662809039</x:v>
      </x:c>
      <x:c r="C9" t="str">
        <x:v>€</x:v>
      </x:c>
    </x:row>
    <x:row r="10">
      <x:c r="A10" t="str">
        <x:v>Résultat opérationnel 36 mois</x:v>
      </x:c>
      <x:c r="B10" s="70" t="n">
        <x:f>SUM(Base!X4:X39)</x:f>
        <x:v>10734.386628090397</x:v>
      </x:c>
      <x:c r="C10" t="str">
        <x:v>€</x:v>
      </x:c>
    </x:row>
    <x:row r="11">
      <x:c r="A11" t="str">
        <x:v>Besoin de financement max.</x:v>
      </x:c>
      <x:c r="B11" s="70" t="n">
        <x:f>MAX(0,-MIN(Base!Y4:Y39))</x:f>
        <x:v>1793.4501285136603</x:v>
      </x:c>
      <x:c r="C11" t="str">
        <x:v>€</x:v>
      </x:c>
    </x:row>
    <x:row r="12">
      <x:c r="A12" t="str">
        <x:v>MAU estimés M36</x:v>
      </x:c>
      <x:c r="B12" s="68" t="n">
        <x:f>Base!E39</x:f>
        <x:v>53595.39867581959</x:v>
      </x:c>
      <x:c r="C12" t="str">
        <x:v>MAU</x:v>
      </x:c>
    </x:row>
    <x:row r="13">
      <x:c r="A13" t="str">
        <x:v>Revenu net mensuel M36</x:v>
      </x:c>
      <x:c r="B13" s="70" t="n">
        <x:f>Base!N39</x:f>
        <x:v>7150.3933976147</x:v>
      </x:c>
      <x:c r="C13" t="str">
        <x:v>€ / mois</x:v>
      </x:c>
    </x:row>
    <x:row r="14">
      <x:c r="A14" t="str">
        <x:v>Résultat mensuel M36</x:v>
      </x:c>
      <x:c r="B14" s="70" t="n">
        <x:f>Base!X39</x:f>
        <x:v>2039.9388407900951</x:v>
      </x:c>
      <x:c r="C14" t="str">
        <x:v>€ / mois</x:v>
      </x:c>
    </x:row>
    <x:row r="15">
      <x:c r="A15" t="str">
        <x:v>Revenu net / installation 36m</x:v>
      </x:c>
      <x:c r="B15" s="72" t="n">
        <x:f>SUM(Base!N4:N39)/SUM(Base!C4:C39)</x:f>
        <x:v>0.4257704328981153</x:v>
      </x:c>
      <x:c r="C15" t="str">
        <x:v>€ / install</x:v>
      </x:c>
    </x:row>
    <x:row r="16">
      <x:c r="A16" s="80" t="str">
        <x:v>Coût RevenueCat 36 mois</x:v>
      </x:c>
      <x:c r="B16" s="80" t="n">
        <x:f>SUM(Base!Z4:Z39)</x:f>
        <x:v>1475.7389023716387</x:v>
      </x:c>
      <x:c r="C16" s="80" t="str">
        <x:v>€</x:v>
      </x:c>
    </x:row>
    <x:row r="18">
      <x:c r="A18" s="9" t="str">
        <x:v>Synthèse annuelle — Base</x:v>
      </x:c>
      <x:c r="B18" s="9" t="str">
        <x:v>Année 1</x:v>
      </x:c>
      <x:c r="C18" s="9" t="str">
        <x:v>Année 2</x:v>
      </x:c>
      <x:c r="D18" s="9" t="str">
        <x:v>Année 3</x:v>
      </x:c>
      <x:c r="E18" s="9" t="str">
        <x:v>36 mois</x:v>
      </x:c>
      <x:c r="F18" s="9" t="str">
        <x:v>Lecture</x:v>
      </x:c>
    </x:row>
    <x:row r="19">
      <x:c r="A19" t="str">
        <x:v>Installations</x:v>
      </x:c>
      <x:c r="B19" s="76" t="n">
        <x:f>SUM(Base!C4:C15)</x:f>
        <x:v>37954.25292047447</x:v>
      </x:c>
      <x:c r="C19" s="76" t="n">
        <x:f>SUM(Base!C16:C27)</x:f>
        <x:v>83389.37907992103</x:v>
      </x:c>
      <x:c r="D19" s="76" t="n">
        <x:f>SUM(Base!C28:C39)</x:f>
        <x:v>146633.36137870242</x:v>
      </x:c>
      <x:c r="E19" s="76" t="n">
        <x:f>SUM(B19:D19)</x:f>
        <x:v>267976.9933790979</x:v>
      </x:c>
      <x:c r="F19" t="str">
        <x:v>Traction brute.</x:v>
      </x:c>
    </x:row>
    <x:row r="20">
      <x:c r="A20" t="str">
        <x:v>Revenu net</x:v>
      </x:c>
      <x:c r="B20" s="78" t="n">
        <x:f>SUM(Base!N4:N15)</x:f>
        <x:v>11388.354969938744</x:v>
      </x:c>
      <x:c r="C20" s="78" t="n">
        <x:f>SUM(Base!N16:N27)</x:f>
        <x:v>34749.325479124134</x:v>
      </x:c>
      <x:c r="D20" s="78" t="n">
        <x:f>SUM(Base!N28:N39)</x:f>
        <x:v>67959.00002869102</x:v>
      </x:c>
      <x:c r="E20" s="78" t="n">
        <x:f>SUM(B20:D20)</x:f>
        <x:v>114096.6804777539</x:v>
      </x:c>
      <x:c r="F20" t="str">
        <x:v>Après TVA et commission store.</x:v>
      </x:c>
    </x:row>
    <x:row r="21">
      <x:c r="A21" t="str">
        <x:v>Contribution produit avant fondateur</x:v>
      </x:c>
      <x:c r="B21" s="78" t="n">
        <x:f>SUM(Base!V4:V15)</x:f>
        <x:v>2277.0723451794024</x:v>
      </x:c>
      <x:c r="C21" s="78" t="n">
        <x:f>SUM(Base!V16:V27)</x:f>
        <x:v>21863.48155594642</x:v>
      </x:c>
      <x:c r="D21" s="78" t="n">
        <x:f>SUM(Base!V28:V39)</x:f>
        <x:v>46593.83272696457</x:v>
      </x:c>
      <x:c r="E21" s="78" t="n">
        <x:f>SUM(B21:D21)</x:f>
        <x:v>70734.38662809039</x:v>
      </x:c>
      <x:c r="F21" t="str">
        <x:v>Économie produit avant rémunération fondateur.</x:v>
      </x:c>
    </x:row>
    <x:row r="22">
      <x:c r="A22" t="str">
        <x:v>Coût fondateur</x:v>
      </x:c>
      <x:c r="B22" s="78" t="n">
        <x:f>SUM(Base!U4:U15)</x:f>
        <x:v>0</x:v>
      </x:c>
      <x:c r="C22" s="78" t="n">
        <x:f>SUM(Base!U16:U27)</x:f>
        <x:v>24000</x:v>
      </x:c>
      <x:c r="D22" s="78" t="n">
        <x:f>SUM(Base!U28:U39)</x:f>
        <x:v>36000</x:v>
      </x:c>
      <x:c r="E22" s="78" t="n">
        <x:f>SUM(B22:D22)</x:f>
        <x:v>60000</x:v>
      </x:c>
      <x:c r="F22" t="str">
        <x:v>Enveloppe de coût société, hypothèse.</x:v>
      </x:c>
    </x:row>
    <x:row r="23">
      <x:c r="A23" t="str">
        <x:v>OPEX total</x:v>
      </x:c>
      <x:c r="B23" s="78" t="n">
        <x:f>SUM(Base!W4:W15)</x:f>
        <x:v>9111.282624759342</x:v>
      </x:c>
      <x:c r="C23" s="78" t="n">
        <x:f>SUM(Base!W16:W27)</x:f>
        <x:v>36885.843923177716</x:v>
      </x:c>
      <x:c r="D23" s="78" t="n">
        <x:f>SUM(Base!W28:W39)</x:f>
        <x:v>57365.16730172644</x:v>
      </x:c>
      <x:c r="E23" s="78" t="n">
        <x:f>SUM(B23:D23)</x:f>
        <x:v>103362.29384966349</x:v>
      </x:c>
      <x:c r="F23" t="str">
        <x:v>Inclut marketing, infra, outils, compta, fondateur.</x:v>
      </x:c>
    </x:row>
    <x:row r="24">
      <x:c r="A24" t="str">
        <x:v>Résultat opérationnel</x:v>
      </x:c>
      <x:c r="B24" s="78" t="n">
        <x:f>SUM(Base!X4:X15)</x:f>
        <x:v>2277.0723451794024</x:v>
      </x:c>
      <x:c r="C24" s="78" t="n">
        <x:f>SUM(Base!X16:X27)</x:f>
        <x:v>-2136.518444053579</x:v>
      </x:c>
      <x:c r="D24" s="78" t="n">
        <x:f>SUM(Base!X28:X39)</x:f>
        <x:v>10593.832726964574</x:v>
      </x:c>
      <x:c r="E24" s="78" t="n">
        <x:f>SUM(B24:D24)</x:f>
        <x:v>10734.386628090397</x:v>
      </x:c>
      <x:c r="F24" t="str">
        <x:v>Avant IS / fiscalité société.</x:v>
      </x:c>
    </x:row>
    <x:row r="27">
      <x:c r="A27" s="10" t="str">
        <x:v>Comparaison scénarios</x:v>
      </x:c>
      <x:c r="B27" s="10" t="str">
        <x:v>Installations 36m</x:v>
      </x:c>
      <x:c r="C27" s="10" t="str">
        <x:v>Revenu net 36m</x:v>
      </x:c>
      <x:c r="D27" s="10" t="str">
        <x:v>Résultat 36m</x:v>
      </x:c>
      <x:c r="E27" s="10" t="str">
        <x:v>Besoin financement max</x:v>
      </x:c>
      <x:c r="F27" s="10" t="str">
        <x:v>Revenu net M36</x:v>
      </x:c>
      <x:c r="G27" s="10" t="str">
        <x:v>Résultat M36</x:v>
      </x:c>
    </x:row>
    <x:row r="28">
      <x:c r="A28" t="str">
        <x:v>Prudent</x:v>
      </x:c>
      <x:c r="B28" s="76" t="n">
        <x:f>SUM('Prudent'!C4:C39)</x:f>
        <x:v>80105.2890084847</x:v>
      </x:c>
      <x:c r="C28" s="78" t="n">
        <x:f>SUM('Prudent'!N4:N39)</x:f>
        <x:v>19066.39525460097</x:v>
      </x:c>
      <x:c r="D28" s="78" t="n">
        <x:f>SUM('Prudent'!X4:X39)</x:f>
        <x:v>-48949.66900768184</x:v>
      </x:c>
      <x:c r="E28" s="78" t="n">
        <x:f>MAX(0,-MIN('Prudent'!Y4:Y39))</x:f>
        <x:v>48949.66900768184</x:v>
      </x:c>
      <x:c r="F28" s="78" t="n">
        <x:f>'Prudent'!N39</x:f>
        <x:v>931.340798677362</x:v>
      </x:c>
      <x:c r="G28" s="78" t="n">
        <x:f>'Prudent'!X39</x:f>
        <x:v>-2104.247862785812</x:v>
      </x:c>
    </x:row>
    <x:row r="29">
      <x:c r="A29" t="str">
        <x:v>Base</x:v>
      </x:c>
      <x:c r="B29" s="76" t="n">
        <x:f>SUM('Base'!C4:C39)</x:f>
        <x:v>267976.99337909796</x:v>
      </x:c>
      <x:c r="C29" s="78" t="n">
        <x:f>SUM('Base'!N4:N39)</x:f>
        <x:v>114096.68047775391</x:v>
      </x:c>
      <x:c r="D29" s="78" t="n">
        <x:f>SUM('Base'!X4:X39)</x:f>
        <x:v>10734.386628090397</x:v>
      </x:c>
      <x:c r="E29" s="78" t="n">
        <x:f>MAX(0,-MIN('Base'!Y4:Y39))</x:f>
        <x:v>1793.4501285136603</x:v>
      </x:c>
      <x:c r="F29" s="78" t="n">
        <x:f>'Base'!N39</x:f>
        <x:v>7150.3933976147</x:v>
      </x:c>
      <x:c r="G29" s="78" t="n">
        <x:f>'Base'!X39</x:f>
        <x:v>2039.9388407900951</x:v>
      </x:c>
    </x:row>
    <x:row r="30">
      <x:c r="A30" t="str">
        <x:v>Ambitieux</x:v>
      </x:c>
      <x:c r="B30" s="76" t="n">
        <x:f>SUM('Ambitieux'!C4:C39)</x:f>
        <x:v>625009.0719990663</x:v>
      </x:c>
      <x:c r="C30" s="78" t="n">
        <x:f>SUM('Ambitieux'!N4:N39)</x:f>
        <x:v>445177.021842408</x:v>
      </x:c>
      <x:c r="D30" s="78" t="n">
        <x:f>SUM('Ambitieux'!X4:X39)</x:f>
        <x:v>246146.45566439212</x:v>
      </x:c>
      <x:c r="E30" s="78" t="n">
        <x:f>MAX(0,-MIN('Ambitieux'!Y4:Y39))</x:f>
        <x:v>1500</x:v>
      </x:c>
      <x:c r="F30" s="78" t="n">
        <x:f>'Ambitieux'!N39</x:f>
        <x:v>34034.51056013079</x:v>
      </x:c>
      <x:c r="G30" s="78" t="n">
        <x:f>'Ambitieux'!X39</x:f>
        <x:v>21829.383006818443</x:v>
      </x:c>
    </x:row>
    <x:row r="33">
      <x:c r="A33" s="9" t="str">
        <x:v>Cadre de lecture / limites</x:v>
      </x:c>
      <x:c r="B33" s="9"/>
      <x:c r="C33" s="9"/>
      <x:c r="D33" s="9"/>
      <x:c r="E33" s="9"/>
      <x:c r="F33" s="9"/>
      <x:c r="G33" s="9"/>
      <x:c r="H33" s="9"/>
      <x:c r="I33" s="9"/>
      <x:c r="J33" s="9"/>
    </x:row>
    <x:row r="34">
      <x:c r="A34" s="82" t="str">
        <x:v>• Ce modèle est un prévisionnel de décision, pas une prévision statistique. Les conversions, la croissance, les délais de conversion et la rémunération fondateur sont des hypothèses à tester.</x:v>
      </x:c>
      <x:c r="B34" s="82"/>
      <x:c r="C34" s="82"/>
      <x:c r="D34" s="82"/>
      <x:c r="E34" s="82"/>
      <x:c r="F34" s="82"/>
      <x:c r="G34" s="82"/>
      <x:c r="H34" s="82"/>
      <x:c r="I34" s="82"/>
      <x:c r="J34" s="82"/>
    </x:row>
    <x:row r="35">
      <x:c r="A35" s="82" t="str">
        <x:v>• Le modèle suppose que Plus monétise l'usage local et que Premium arrive au mois 10. Premium reste hors MVP canonique actuel.</x:v>
      </x:c>
      <x:c r="B35" s="82"/>
      <x:c r="C35" s="82"/>
      <x:c r="D35" s="82"/>
      <x:c r="E35" s="82"/>
      <x:c r="F35" s="82"/>
      <x:c r="G35" s="82"/>
      <x:c r="H35" s="82"/>
      <x:c r="I35" s="82"/>
      <x:c r="J35" s="82"/>
    </x:row>
    <x:row r="36">
      <x:c r="A36" s="82" t="str">
        <x:v>• Les ventes sont ramenées hors TVA française à 20% puis diminuées d'une commission Play de 15% retenue comme hypothèse centrale. RevenueCat est ajouté comme coût variable: gratuit jusqu'à 2 500 USD de MTR, puis 1% du MTR suivi; le modèle utilise le CA brut TTC comme proxy prudent.</x:v>
      </x:c>
      <x:c r="B36" s="82"/>
      <x:c r="C36" s="82"/>
      <x:c r="D36" s="82"/>
      <x:c r="E36" s="82"/>
      <x:c r="F36" s="82"/>
      <x:c r="G36" s="82"/>
      <x:c r="H36" s="82"/>
      <x:c r="I36" s="82"/>
      <x:c r="J36" s="82"/>
    </x:row>
    <x:row r="37">
      <x:c r="A37" s="82" t="str">
        <x:v>• Les MAU sont désormais calculés par âge de cohorte. Tant qu'aucun taux observé n'est saisi, chaque âge de cohorte utilise explicitement le fallback historique de 20%, ce qui préserve les résultats V0.2.</x:v>
      </x:c>
      <x:c r="B37" s="82"/>
      <x:c r="C37" s="82"/>
      <x:c r="D37" s="82"/>
      <x:c r="E37" s="82"/>
      <x:c r="F37" s="82"/>
      <x:c r="G37" s="82"/>
      <x:c r="H37" s="82"/>
      <x:c r="I37" s="82"/>
      <x:c r="J37" s="82"/>
    </x:row>
    <x:row r="38">
      <x:c r="A38" s="82" t="str">
        <x:v>• La trajectoire d'installations est un socle organique/earned. L'acquisition payante n'ajoute des installations et des coûts que si budget + CPI sont renseignés dans la feuille Acquisition.</x:v>
      </x:c>
      <x:c r="B38" s="82"/>
      <x:c r="C38" s="82"/>
      <x:c r="D38" s="82"/>
      <x:c r="E38" s="82"/>
      <x:c r="F38" s="82"/>
      <x:c r="G38" s="82"/>
      <x:c r="H38" s="82"/>
      <x:c r="I38" s="82"/>
      <x:c r="J38" s="82"/>
    </x:row>
    <x:row r="40">
      <x:c r="A40" s="93" t="str">
        <x:v>Validation produit — données à renseigner avant décisions de scale</x:v>
      </x:c>
      <x:c r="B40" s="93"/>
      <x:c r="C40" s="93"/>
      <x:c r="D40" s="93"/>
      <x:c r="E40" s="93"/>
      <x:c r="F40" s="93"/>
      <x:c r="G40" s="93"/>
    </x:row>
    <x:row r="41">
      <x:c r="A41" s="93" t="str">
        <x:v>KPI</x:v>
      </x:c>
      <x:c r="B41" s="93" t="str">
        <x:v>Observé</x:v>
      </x:c>
      <x:c r="C41" s="93" t="str">
        <x:v>Unité</x:v>
      </x:c>
      <x:c r="D41" s="93" t="str">
        <x:v>Lecture</x:v>
      </x:c>
      <x:c r="E41" s="80"/>
      <x:c r="F41" s="80"/>
      <x:c r="G41" s="80"/>
    </x:row>
    <x:row r="42">
      <x:c r="A42" s="80" t="str">
        <x:v>Activation → 1er lieu</x:v>
      </x:c>
      <x:c r="B42" s="122" t="str">
        <x:f>'Validation produit'!D4</x:f>
      </x:c>
      <x:c r="C42" s="80" t="str">
        <x:v>%</x:v>
      </x:c>
      <x:c r="D42" s="80" t="str">
        <x:v>Mesurer</x:v>
      </x:c>
      <x:c r="E42" s="80"/>
      <x:c r="F42" s="80"/>
      <x:c r="G42" s="80"/>
    </x:row>
    <x:row r="43">
      <x:c r="A43" s="80" t="str">
        <x:v>Fast save médian</x:v>
      </x:c>
      <x:c r="B43" s="123" t="str">
        <x:f>'Validation produit'!D5</x:f>
      </x:c>
      <x:c r="C43" s="80" t="str">
        <x:v>s</x:v>
      </x:c>
      <x:c r="D43" s="80" t="str">
        <x:v>Cible &lt;10 s avec position exploitable</x:v>
      </x:c>
      <x:c r="E43" s="80"/>
      <x:c r="F43" s="80"/>
      <x:c r="G43" s="80"/>
    </x:row>
    <x:row r="44">
      <x:c r="A44" s="80" t="str">
        <x:v>Fast save p90</x:v>
      </x:c>
      <x:c r="B44" s="123" t="str">
        <x:f>'Validation produit'!D6</x:f>
      </x:c>
      <x:c r="C44" s="80" t="str">
        <x:v>s</x:v>
      </x:c>
      <x:c r="D44" s="80" t="str">
        <x:v>Observer</x:v>
      </x:c>
      <x:c r="E44" s="80"/>
      <x:c r="F44" s="80"/>
      <x:c r="G44" s="80"/>
    </x:row>
    <x:row r="45">
      <x:c r="A45" s="80" t="str">
        <x:v>1er → 3e lieu</x:v>
      </x:c>
      <x:c r="B45" s="122" t="str">
        <x:f>'Validation produit'!D7</x:f>
      </x:c>
      <x:c r="C45" s="80" t="str">
        <x:v>%</x:v>
      </x:c>
      <x:c r="D45" s="80" t="str">
        <x:v>Mesurer</x:v>
      </x:c>
      <x:c r="E45" s="80"/>
      <x:c r="F45" s="80"/>
      <x:c r="G45" s="80"/>
    </x:row>
    <x:row r="46">
      <x:c r="A46" s="80" t="str">
        <x:v>3e → 10e lieu</x:v>
      </x:c>
      <x:c r="B46" s="122" t="str">
        <x:f>'Validation produit'!D8</x:f>
      </x:c>
      <x:c r="C46" s="80" t="str">
        <x:v>%</x:v>
      </x:c>
      <x:c r="D46" s="80" t="str">
        <x:v>Mesurer</x:v>
      </x:c>
      <x:c r="E46" s="80"/>
      <x:c r="F46" s="80"/>
      <x:c r="G46" s="80"/>
    </x:row>
    <x:row r="47">
      <x:c r="A47" s="80" t="str">
        <x:v>Rétention D30</x:v>
      </x:c>
      <x:c r="B47" s="122" t="str">
        <x:f>'Validation produit'!D9</x:f>
      </x:c>
      <x:c r="C47" s="80" t="str">
        <x:v>%</x:v>
      </x:c>
      <x:c r="D47" s="80" t="str">
        <x:v>Mesurer</x:v>
      </x:c>
      <x:c r="E47" s="80"/>
      <x:c r="F47" s="80"/>
      <x:c r="G47" s="80"/>
    </x:row>
    <x:row r="48">
      <x:c r="A48" s="80" t="str">
        <x:v>Rétention D90</x:v>
      </x:c>
      <x:c r="B48" s="122" t="str">
        <x:f>'Validation produit'!D10</x:f>
      </x:c>
      <x:c r="C48" s="80" t="str">
        <x:v>%</x:v>
      </x:c>
      <x:c r="D48" s="80" t="str">
        <x:v>Mesurer</x:v>
      </x:c>
      <x:c r="E48" s="80"/>
      <x:c r="F48" s="80"/>
      <x:c r="G48" s="80"/>
    </x:row>
    <x:row r="49">
      <x:c r="A49" s="80" t="str">
        <x:v>Usage récupération</x:v>
      </x:c>
      <x:c r="B49" s="122" t="str">
        <x:f>'Validation produit'!D11</x:f>
      </x:c>
      <x:c r="C49" s="80" t="str">
        <x:v>%</x:v>
      </x:c>
      <x:c r="D49" s="80" t="str">
        <x:v>Mesurer</x:v>
      </x:c>
      <x:c r="E49" s="80"/>
      <x:c r="F49" s="80"/>
      <x:c r="G49" s="80"/>
    </x:row>
    <x:row r="50">
      <x:c r="A50" s="80" t="str">
        <x:v>Réflexe Wheris</x:v>
      </x:c>
      <x:c r="B50" s="124" t="str">
        <x:f>'Validation produit'!D12</x:f>
      </x:c>
      <x:c r="C50" s="80" t="str">
        <x:v>%</x:v>
      </x:c>
      <x:c r="D50" s="80" t="str">
        <x:v>Signal qualitatif</x:v>
      </x:c>
      <x:c r="E50" s="80"/>
      <x:c r="F50" s="80"/>
      <x:c r="G50" s="80"/>
    </x:row>
    <x:row r="51">
      <x:c r="A51" s="80" t="str">
        <x:v>CPI paid Base</x:v>
      </x:c>
      <x:c r="B51" s="114" t="str">
        <x:f>'Validation produit'!D22</x:f>
      </x:c>
      <x:c r="C51" s="80" t="str">
        <x:v>€ / install</x:v>
      </x:c>
      <x:c r="D51" s="80" t="str">
        <x:v>Ne pas comparer au CA brut</x:v>
      </x:c>
      <x:c r="E51" s="80"/>
      <x:c r="F51" s="80"/>
      <x:c r="G51" s="80"/>
    </x:row>
    <x:row r="52">
      <x:c r="A52" s="80" t="str">
        <x:v>Âges cohorte MAU observés</x:v>
      </x:c>
      <x:c r="B52" s="80" t="n">
        <x:f>'Validation produit'!D23</x:f>
        <x:v>0</x:v>
      </x:c>
      <x:c r="C52" s="80" t="str">
        <x:v>âges</x:v>
      </x:c>
      <x:c r="D52" s="80" t="str">
        <x:v>0 = fallback historique</x:v>
      </x:c>
      <x:c r="E52" s="80"/>
      <x:c r="F52" s="80"/>
      <x:c r="G52" s="80"/>
    </x:row>
  </x:sheetData>
  <x:mergeCells>
    <x:mergeCell ref="A1:J1"/>
    <x:mergeCell ref="A2:J2"/>
    <x:mergeCell ref="A4:D4"/>
    <x:mergeCell ref="A33:J33"/>
    <x:mergeCell ref="A34:J34"/>
    <x:mergeCell ref="A35:J35"/>
    <x:mergeCell ref="A36:J36"/>
    <x:mergeCell ref="A37:J37"/>
    <x:mergeCell ref="A38:J38"/>
    <x:mergeCell ref="A40:G40"/>
  </x:mergeCells>
  <x:pageMargins left="0.7" right="0.7" top="0.75" bottom="0.75" header="0.3" footer="0.3"/>
  <x:drawing xmlns:r="http://schemas.openxmlformats.org/officeDocument/2006/relationships" r:id="R8c2fd199b0674810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8" hidden="0" customWidth="1"/>
    <x:col min="5" max="5" width="48" hidden="0" customWidth="1"/>
    <x:col min="6" max="6" width="54" hidden="0" customWidth="1"/>
  </x:cols>
  <x:sheetData>
    <x:row r="1" ht="28" customHeight="1">
      <x:c r="A1" s="30" t="str">
        <x:v>WHERIS — Hypothèses du modèle financier 36 mois</x:v>
      </x:c>
      <x:c r="B1" s="30"/>
      <x:c r="C1" s="30"/>
      <x:c r="D1" s="30"/>
      <x:c r="E1" s="30"/>
      <x:c r="F1" s="30"/>
    </x:row>
    <x:row r="3">
      <x:c r="A3" s="10" t="str">
        <x:v>Hypothèses globales</x:v>
      </x:c>
      <x:c r="B3" s="10" t="str">
        <x:v>Valeur</x:v>
      </x:c>
      <x:c r="C3" s="10" t="str">
        <x:v>Unité</x:v>
      </x:c>
      <x:c r="D3" s="10" t="str">
        <x:v>Statut</x:v>
      </x:c>
      <x:c r="E3" s="10" t="str">
        <x:v>Source / justification</x:v>
      </x:c>
      <x:c r="F3" s="10" t="str">
        <x:v>Commentaire</x:v>
      </x:c>
    </x:row>
    <x:row r="4">
      <x:c r="A4" t="str">
        <x:v>Date de lancement du modèle</x:v>
      </x:c>
      <x:c r="B4" s="18" t="n">
        <x:v>46388</x:v>
      </x:c>
      <x:c r="C4" t="str">
        <x:v>date</x:v>
      </x:c>
      <x:c r="D4" t="str">
        <x:v>Hypothèse</x:v>
      </x:c>
      <x:c r="E4" t="str">
        <x:v>Hypothèse de travail</x:v>
      </x:c>
      <x:c r="F4" t="str">
        <x:v>M1 = première version publique monétisée; date modifiable.</x:v>
      </x:c>
    </x:row>
    <x:row r="5">
      <x:c r="A5" t="str">
        <x:v>Limite Free de lieux actifs</x:v>
      </x:c>
      <x:c r="B5" s="20" t="n">
        <x:v>10</x:v>
      </x:c>
      <x:c r="C5" t="str">
        <x:v>lieux</x:v>
      </x:c>
      <x:c r="D5" t="str">
        <x:v>À tester</x:v>
      </x:c>
      <x:c r="E5" s="74" t="str">
        <x:v>WHERIS_BUSINESS_REFERENCE.md — limite Free</x:v>
      </x:c>
      <x:c r="F5" t="str">
        <x:v>N'influence pas directement les formules; hypothèse commerciale à valider par usage réel.</x:v>
      </x:c>
    </x:row>
    <x:row r="6">
      <x:c r="A6" t="str">
        <x:v>Prix Plus — achat unique TTC</x:v>
      </x:c>
      <x:c r="B6" s="22" t="n">
        <x:v>19.99</x:v>
      </x:c>
      <x:c r="C6" t="str">
        <x:v>€ TTC</x:v>
      </x:c>
      <x:c r="D6" t="str">
        <x:v>À tester</x:v>
      </x:c>
      <x:c r="E6" s="74" t="str">
        <x:v>WHERIS_BUSINESS_REFERENCE.md — Wheris Plus</x:v>
      </x:c>
      <x:c r="F6" t="str">
        <x:v>Déblocage local illimité.</x:v>
      </x:c>
    </x:row>
    <x:row r="7">
      <x:c r="A7" t="str">
        <x:v>Prix Premium annuel TTC — nouveau client</x:v>
      </x:c>
      <x:c r="B7" s="22" t="n">
        <x:v>29.99</x:v>
      </x:c>
      <x:c r="C7" t="str">
        <x:v>€ TTC/an</x:v>
      </x:c>
      <x:c r="D7" t="str">
        <x:v>À tester</x:v>
      </x:c>
      <x:c r="E7" s="74" t="str">
        <x:v>WHERIS_BUSINESS_REFERENCE.md — Premium direct</x:v>
      </x:c>
      <x:c r="F7" t="str">
        <x:v>Premium inclut services récurrents/cloud.</x:v>
      </x:c>
    </x:row>
    <x:row r="8">
      <x:c r="A8" t="str">
        <x:v>Prix Premium annuel TTC — upgrade Plus</x:v>
      </x:c>
      <x:c r="B8" s="22" t="n">
        <x:v>19.99</x:v>
      </x:c>
      <x:c r="C8" t="str">
        <x:v>€ TTC/an</x:v>
      </x:c>
      <x:c r="D8" t="str">
        <x:v>À tester</x:v>
      </x:c>
      <x:c r="E8" s="74" t="str">
        <x:v>WHERIS_BUSINESS_REFERENCE.md — upgrade Plus→Premium</x:v>
      </x:c>
      <x:c r="F8" t="str">
        <x:v>Tarif d'upgrade proposé aux propriétaires Plus.</x:v>
      </x:c>
    </x:row>
    <x:row r="9">
      <x:c r="A9" t="str">
        <x:v>TVA France métropolitaine</x:v>
      </x:c>
      <x:c r="B9" s="24" t="n">
        <x:v>0.2</x:v>
      </x:c>
      <x:c r="C9" t="str">
        <x:v>%</x:v>
      </x:c>
      <x:c r="D9" t="str">
        <x:v>Externe</x:v>
      </x:c>
      <x:c r="E9" t="str">
        <x:v>https://www.economie.gouv.fr/particuliers/impots-et-fiscalite/gerer-mes-autres-impots-et-taxes/tva-quels-sont-les-taux-de-votre-quotidien</x:v>
      </x:c>
      <x:c r="F9" t="str">
        <x:v>Taux normal; ventes UE réelles à traiter selon règles de TVA applicables.</x:v>
      </x:c>
    </x:row>
    <x:row r="10">
      <x:c r="A10" t="str">
        <x:v>Commission Google Play — hypothèse de planification</x:v>
      </x:c>
      <x:c r="B10" s="24" t="n">
        <x:v>0.15</x:v>
      </x:c>
      <x:c r="C10" t="str">
        <x:v>% du CA HT</x:v>
      </x:c>
      <x:c r="D10" t="str">
        <x:v>Externe / simplifié</x:v>
      </x:c>
      <x:c r="E10" t="str">
        <x:v>https://support.google.com/googleplay/android-developer/answer/112622?hl=fr</x:v>
      </x:c>
      <x:c r="F10" t="str">
        <x:v>La structure EEE depuis 30/06/2026 varie selon programme et installation. 15% est une hypothèse centrale, à revalider avant lancement.</x:v>
      </x:c>
    </x:row>
    <x:row r="11">
      <x:c r="A11" t="str">
        <x:v>Fallback taux actif mensuel par cohorte</x:v>
      </x:c>
      <x:c r="B11" s="87" t="n">
        <x:v>0.2</x:v>
      </x:c>
      <x:c r="C11" t="str">
        <x:v>% / cohorte-mois</x:v>
      </x:c>
      <x:c r="D11" t="str">
        <x:v>Fallback</x:v>
      </x:c>
      <x:c r="E11" t="str">
        <x:v>Hypothèse V0.2 conservée comme repli</x:v>
      </x:c>
      <x:c r="F11" t="str">
        <x:v>Utilisé dans Cohortes MAU seulement tant qu'aucun taux observé n'est saisi pour l'âge de cohorte.</x:v>
      </x:c>
    </x:row>
    <x:row r="12">
      <x:c r="A12" t="str">
        <x:v>Mois de lancement Premium</x:v>
      </x:c>
      <x:c r="B12" s="20" t="n">
        <x:v>10</x:v>
      </x:c>
      <x:c r="C12" t="str">
        <x:v>mois</x:v>
      </x:c>
      <x:c r="D12" t="str">
        <x:v>Hypothèse</x:v>
      </x:c>
      <x:c r="E12" t="str">
        <x:v>WHERIS: Premium hors MVP canonique</x:v>
      </x:c>
      <x:c r="F12" t="str">
        <x:v>Plus peut monétiser avant le cloud.</x:v>
      </x:c>
    </x:row>
    <x:row r="13">
      <x:c r="A13" t="str">
        <x:v>Délai moyen conversion Plus</x:v>
      </x:c>
      <x:c r="B13" s="20" t="n">
        <x:v>2</x:v>
      </x:c>
      <x:c r="C13" t="str">
        <x:v>mois</x:v>
      </x:c>
      <x:c r="D13" t="str">
        <x:v>Hypothèse</x:v>
      </x:c>
      <x:c r="E13" t="str">
        <x:v>Hypothèse de travail</x:v>
      </x:c>
      <x:c r="F13" t="str">
        <x:v>Décalage entre installation et achat Plus.</x:v>
      </x:c>
    </x:row>
    <x:row r="14">
      <x:c r="A14" t="str">
        <x:v>Délai moyen conversion Premium direct</x:v>
      </x:c>
      <x:c r="B14" s="20" t="n">
        <x:v>3</x:v>
      </x:c>
      <x:c r="C14" t="str">
        <x:v>mois</x:v>
      </x:c>
      <x:c r="D14" t="str">
        <x:v>Hypothèse</x:v>
      </x:c>
      <x:c r="E14" t="str">
        <x:v>Hypothèse de travail</x:v>
      </x:c>
      <x:c r="F14" t="str">
        <x:v>Décalage entre installation et abonnement Premium.</x:v>
      </x:c>
    </x:row>
    <x:row r="15">
      <x:c r="A15" t="str">
        <x:v>Cloud fixe mensuel dès Premium</x:v>
      </x:c>
      <x:c r="B15" s="22" t="n">
        <x:v>25</x:v>
      </x:c>
      <x:c r="C15" t="str">
        <x:v>€ / mois</x:v>
      </x:c>
      <x:c r="D15" t="str">
        <x:v>Externe / arrondi</x:v>
      </x:c>
      <x:c r="E15" t="str">
        <x:v>https://supabase.com/pricing</x:v>
      </x:c>
      <x:c r="F15" t="str">
        <x:v>Supabase Pro démarre actuellement à 25 USD/mois; modèle arrondi à parité EUR/USD pour prudence.</x:v>
      </x:c>
    </x:row>
    <x:row r="16">
      <x:c r="A16" t="str">
        <x:v>Cloud variable / Premium actif</x:v>
      </x:c>
      <x:c r="B16" s="22" t="n">
        <x:v>0.1</x:v>
      </x:c>
      <x:c r="C16" t="str">
        <x:v>€ / mois</x:v>
      </x:c>
      <x:c r="D16" t="str">
        <x:v>Hypothèse prudente</x:v>
      </x:c>
      <x:c r="E16" t="str">
        <x:v>Hypothèse de travail + coûts stockage/egress</x:v>
      </x:c>
      <x:c r="F16" t="str">
        <x:v>Provision simplifiée pour stockage photos, egress et services complémentaires.</x:v>
      </x:c>
    </x:row>
    <x:row r="17">
      <x:c r="A17" t="str">
        <x:v>Marketing organique / ops variable</x:v>
      </x:c>
      <x:c r="B17" s="24" t="n">
        <x:v>0.15</x:v>
      </x:c>
      <x:c r="C17" t="str">
        <x:v>% revenu net</x:v>
      </x:c>
      <x:c r="D17" t="str">
        <x:v>Hypothèse</x:v>
      </x:c>
      <x:c r="E17" t="str">
        <x:v>Hypothèse de travail</x:v>
      </x:c>
      <x:c r="F17" t="str">
        <x:v>Budget ASO, créa, contenu et tests hors acquisition payante explicitement saisie dans la feuille Acquisition.</x:v>
      </x:c>
    </x:row>
    <x:row r="18">
      <x:c r="A18" t="str">
        <x:v>Plancher marketing organique / ops</x:v>
      </x:c>
      <x:c r="B18" s="26" t="n">
        <x:v>300</x:v>
      </x:c>
      <x:c r="C18" t="str">
        <x:v>€ / mois</x:v>
      </x:c>
      <x:c r="D18" t="str">
        <x:v>Hypothèse</x:v>
      </x:c>
      <x:c r="E18" t="str">
        <x:v>Hypothèse de travail</x:v>
      </x:c>
      <x:c r="F18" t="str">
        <x:v>Socle mensuel hors budget d'acquisition payante.</x:v>
      </x:c>
    </x:row>
    <x:row r="19">
      <x:c r="A19" t="str">
        <x:v>Compta / juridique</x:v>
      </x:c>
      <x:c r="B19" s="26" t="n">
        <x:v>200</x:v>
      </x:c>
      <x:c r="C19" t="str">
        <x:v>€ / mois</x:v>
      </x:c>
      <x:c r="D19" t="str">
        <x:v>Hypothèse</x:v>
      </x:c>
      <x:c r="E19" t="str">
        <x:v>Hypothèse de travail</x:v>
      </x:c>
      <x:c r="F19" t="str">
        <x:v>À ajuster selon structure juridique.</x:v>
      </x:c>
    </x:row>
    <x:row r="20">
      <x:c r="A20" t="str">
        <x:v>Autres frais fixes</x:v>
      </x:c>
      <x:c r="B20" s="26" t="n">
        <x:v>100</x:v>
      </x:c>
      <x:c r="C20" t="str">
        <x:v>€ / mois</x:v>
      </x:c>
      <x:c r="D20" t="str">
        <x:v>Hypothèse</x:v>
      </x:c>
      <x:c r="E20" t="str">
        <x:v>Hypothèse de travail</x:v>
      </x:c>
      <x:c r="F20" t="str">
        <x:v>Divers, banque, domaine, petits services.</x:v>
      </x:c>
    </x:row>
    <x:row r="21">
      <x:c r="A21" t="str">
        <x:v>Outils / logiciels — Année 1</x:v>
      </x:c>
      <x:c r="B21" s="26" t="n">
        <x:v>150</x:v>
      </x:c>
      <x:c r="C21" t="str">
        <x:v>€ / mois</x:v>
      </x:c>
      <x:c r="D21" t="str">
        <x:v>Hypothèse</x:v>
      </x:c>
      <x:c r="E21" t="str">
        <x:v>Hypothèse de travail</x:v>
      </x:c>
      <x:c r="F21" t="str">
        <x:v>Dev, monitoring, productivité.</x:v>
      </x:c>
    </x:row>
    <x:row r="22">
      <x:c r="A22" t="str">
        <x:v>Outils / logiciels — Année 2</x:v>
      </x:c>
      <x:c r="B22" s="26" t="n">
        <x:v>250</x:v>
      </x:c>
      <x:c r="C22" t="str">
        <x:v>€ / mois</x:v>
      </x:c>
      <x:c r="D22" t="str">
        <x:v>Hypothèse</x:v>
      </x:c>
      <x:c r="E22" t="str">
        <x:v>Hypothèse de travail</x:v>
      </x:c>
      <x:c r="F22" t="str">
        <x:v>Montée en charge.</x:v>
      </x:c>
    </x:row>
    <x:row r="23">
      <x:c r="A23" t="str">
        <x:v>Outils / logiciels — Année 3</x:v>
      </x:c>
      <x:c r="B23" s="20" t="n">
        <x:v>400</x:v>
      </x:c>
      <x:c r="C23" t="str">
        <x:v>€ / mois</x:v>
      </x:c>
      <x:c r="D23" t="str">
        <x:v>Hypothèse</x:v>
      </x:c>
      <x:c r="E23" t="str">
        <x:v>Hypothèse de travail</x:v>
      </x:c>
      <x:c r="F23" t="str">
        <x:v>Montée en charge.</x:v>
      </x:c>
    </x:row>
    <x:row r="24">
      <x:c r="A24" t="str">
        <x:v>Mapbox — palier gratuit</x:v>
      </x:c>
      <x:c r="B24" s="20" t="n">
        <x:v>25000</x:v>
      </x:c>
      <x:c r="C24" t="str">
        <x:v>MAU</x:v>
      </x:c>
      <x:c r="D24" t="str">
        <x:v>Externe</x:v>
      </x:c>
      <x:c r="E24" t="str">
        <x:v>https://www.mapbox.com/pricing</x:v>
      </x:c>
      <x:c r="F24" t="str">
        <x:v>Maps SDK Mobile: jusqu'à 25k MAU gratuits.</x:v>
      </x:c>
    </x:row>
    <x:row r="25">
      <x:c r="A25" t="str">
        <x:v>Mapbox — fin palier 1</x:v>
      </x:c>
      <x:c r="B25" s="22" t="n">
        <x:v>125000</x:v>
      </x:c>
      <x:c r="C25" t="str">
        <x:v>MAU</x:v>
      </x:c>
      <x:c r="D25" t="str">
        <x:v>Externe</x:v>
      </x:c>
      <x:c r="E25" t="str">
        <x:v>https://www.mapbox.com/pricing</x:v>
      </x:c>
      <x:c r="F25" t="str">
        <x:v>25k–125k: 4 USD / 1 000 MAU.</x:v>
      </x:c>
    </x:row>
    <x:row r="26">
      <x:c r="A26" t="str">
        <x:v>Mapbox — tarif palier 1</x:v>
      </x:c>
      <x:c r="B26" s="20" t="n">
        <x:v>4</x:v>
      </x:c>
      <x:c r="C26" t="str">
        <x:v>USD / 1k MAU</x:v>
      </x:c>
      <x:c r="D26" t="str">
        <x:v>Externe</x:v>
      </x:c>
      <x:c r="E26" t="str">
        <x:v>https://www.mapbox.com/pricing</x:v>
      </x:c>
      <x:c r="F26" t="str">
        <x:v>Prix public vérifié au 17/09/2026.</x:v>
      </x:c>
    </x:row>
    <x:row r="27">
      <x:c r="A27" t="str">
        <x:v>Mapbox — fin palier 2</x:v>
      </x:c>
      <x:c r="B27" s="22" t="n">
        <x:v>250000</x:v>
      </x:c>
      <x:c r="C27" t="str">
        <x:v>MAU</x:v>
      </x:c>
      <x:c r="D27" t="str">
        <x:v>Externe</x:v>
      </x:c>
      <x:c r="E27" t="str">
        <x:v>https://www.mapbox.com/pricing</x:v>
      </x:c>
      <x:c r="F27" t="str">
        <x:v>125k–250k: 3.20 USD / 1 000 MAU.</x:v>
      </x:c>
    </x:row>
    <x:row r="28">
      <x:c r="A28" t="str">
        <x:v>Mapbox — tarif palier 2</x:v>
      </x:c>
      <x:c r="B28" s="22" t="n">
        <x:v>3.2</x:v>
      </x:c>
      <x:c r="C28" t="str">
        <x:v>USD / 1k MAU</x:v>
      </x:c>
      <x:c r="D28" t="str">
        <x:v>Externe</x:v>
      </x:c>
      <x:c r="E28" t="str">
        <x:v>https://www.mapbox.com/pricing</x:v>
      </x:c>
      <x:c r="F28" t="str">
        <x:v>Prix public vérifié au 17/09/2026.</x:v>
      </x:c>
    </x:row>
    <x:row r="29">
      <x:c r="A29" t="str">
        <x:v>Mapbox — tarif palier 3</x:v>
      </x:c>
      <x:c r="B29" s="28" t="n">
        <x:v>2.4</x:v>
      </x:c>
      <x:c r="C29" t="str">
        <x:v>USD / 1k MAU</x:v>
      </x:c>
      <x:c r="D29" t="str">
        <x:v>Externe</x:v>
      </x:c>
      <x:c r="E29" t="str">
        <x:v>https://www.mapbox.com/pricing</x:v>
      </x:c>
      <x:c r="F29" t="str">
        <x:v>250k+ jusqu'au prochain palier public.</x:v>
      </x:c>
    </x:row>
    <x:row r="30">
      <x:c r="A30" t="str">
        <x:v>FX de planification USD→EUR</x:v>
      </x:c>
      <x:c r="B30" s="16" t="n">
        <x:v>1</x:v>
      </x:c>
      <x:c r="C30" t="str">
        <x:v>€ / USD</x:v>
      </x:c>
      <x:c r="D30" t="str">
        <x:v>Hypothèse prudente</x:v>
      </x:c>
      <x:c r="E30" t="str">
        <x:v>Hypothèse de planification</x:v>
      </x:c>
      <x:c r="F30" t="str">
        <x:v>Parité retenue pour ne pas sous-estimer les coûts USD; à mettre à jour lors du budget.</x:v>
      </x:c>
    </x:row>
    <x:row r="31">
      <x:c r="A31" s="80" t="str">
        <x:v>RevenueCat — seuil gratuit MTR</x:v>
      </x:c>
      <x:c r="B31" s="80" t="n">
        <x:v>2500</x:v>
      </x:c>
      <x:c r="C31" s="80" t="str">
        <x:v>USD MTR / mois</x:v>
      </x:c>
      <x:c r="D31" s="80" t="str">
        <x:v>Externe</x:v>
      </x:c>
      <x:c r="E31" s="80" t="str">
        <x:v>https://www.revenuecat.com/pricing</x:v>
      </x:c>
      <x:c r="F31" s="80" t="str">
        <x:v>Gratuit jusqu'à 2 500 USD de Monthly Tracked Revenue. Le modèle convertit avec le FX de planification.</x:v>
      </x:c>
    </x:row>
    <x:row r="32">
      <x:c r="A32" s="80" t="str">
        <x:v>RevenueCat — coût au-delà du seuil</x:v>
      </x:c>
      <x:c r="B32" s="85" t="n">
        <x:v>0.01</x:v>
      </x:c>
      <x:c r="C32" s="80" t="str">
        <x:v>% du MTR</x:v>
      </x:c>
      <x:c r="D32" s="80" t="str">
        <x:v>Externe</x:v>
      </x:c>
      <x:c r="E32" s="80" t="str">
        <x:v>https://www.revenuecat.com/pricing</x:v>
      </x:c>
      <x:c r="F32" s="80" t="str">
        <x:v>Une fois le seuil atteint, 1% du MTR suivi; MTR avant commissions store et taxes. Le modèle utilise le CA brut TTC comme proxy prudent.</x:v>
      </x:c>
    </x:row>
    <x:row r="34">
      <x:c r="A34" s="10" t="str">
        <x:v>Hypothèses par scénario</x:v>
      </x:c>
      <x:c r="B34" s="10" t="str">
        <x:v>Prudent</x:v>
      </x:c>
      <x:c r="C34" s="10" t="str">
        <x:v>Base</x:v>
      </x:c>
      <x:c r="D34" s="10" t="str">
        <x:v>Ambitieux</x:v>
      </x:c>
      <x:c r="E34" s="10" t="str">
        <x:v>Commentaire</x:v>
      </x:c>
    </x:row>
    <x:row r="35">
      <x:c r="A35" t="str">
        <x:v>Installations M1</x:v>
      </x:c>
      <x:c r="B35" s="20" t="n">
        <x:v>1000</x:v>
      </x:c>
      <x:c r="C35" s="20" t="n">
        <x:v>2000</x:v>
      </x:c>
      <x:c r="D35" s="20" t="n">
        <x:v>3000</x:v>
      </x:c>
      <x:c r="E35" t="str">
        <x:v>Point de départ de traction commerciale.</x:v>
      </x:c>
    </x:row>
    <x:row r="36">
      <x:c r="A36" t="str">
        <x:v>Croissance mensuelle installations — A1</x:v>
      </x:c>
      <x:c r="B36" s="24" t="n">
        <x:v>0.05</x:v>
      </x:c>
      <x:c r="C36" s="24" t="n">
        <x:v>0.08</x:v>
      </x:c>
      <x:c r="D36" s="24" t="n">
        <x:v>0.1</x:v>
      </x:c>
      <x:c r="E36" t="str">
        <x:v>Croissance mensuelle composée.</x:v>
      </x:c>
    </x:row>
    <x:row r="37">
      <x:c r="A37" t="str">
        <x:v>Croissance mensuelle installations — A2</x:v>
      </x:c>
      <x:c r="B37" s="24" t="n">
        <x:v>0.04</x:v>
      </x:c>
      <x:c r="C37" s="24" t="n">
        <x:v>0.06</x:v>
      </x:c>
      <x:c r="D37" s="24" t="n">
        <x:v>0.08</x:v>
      </x:c>
      <x:c r="E37" t="str">
        <x:v>Croissance mensuelle composée.</x:v>
      </x:c>
    </x:row>
    <x:row r="38">
      <x:c r="A38" t="str">
        <x:v>Croissance mensuelle installations — A3</x:v>
      </x:c>
      <x:c r="B38" s="24" t="n">
        <x:v>0.02</x:v>
      </x:c>
      <x:c r="C38" s="24" t="n">
        <x:v>0.04</x:v>
      </x:c>
      <x:c r="D38" s="24" t="n">
        <x:v>0.06</x:v>
      </x:c>
      <x:c r="E38" t="str">
        <x:v>Croissance mensuelle composée.</x:v>
      </x:c>
    </x:row>
    <x:row r="39">
      <x:c r="A39" t="str">
        <x:v>Conversion installations → Plus</x:v>
      </x:c>
      <x:c r="B39" s="24" t="n">
        <x:v>0.015</x:v>
      </x:c>
      <x:c r="C39" s="24" t="n">
        <x:v>0.025</x:v>
      </x:c>
      <x:c r="D39" s="24" t="n">
        <x:v>0.04</x:v>
      </x:c>
      <x:c r="E39" t="str">
        <x:v>Proxy de planification V0.3 après délai moyen global. À remplacer progressivement par un funnel observé activation → habitude → limite → offre → achat.</x:v>
      </x:c>
    </x:row>
    <x:row r="40">
      <x:c r="A40" t="str">
        <x:v>Conversion installations → Premium direct</x:v>
      </x:c>
      <x:c r="B40" s="24" t="n">
        <x:v>0.002</x:v>
      </x:c>
      <x:c r="C40" s="24" t="n">
        <x:v>0.005</x:v>
      </x:c>
      <x:c r="D40" s="24" t="n">
        <x:v>0.01</x:v>
      </x:c>
      <x:c r="E40" t="str">
        <x:v>Proxy de planification V0.3 à partir du lancement Premium. À remplacer progressivement par des conversions observées par étape/cohorte.</x:v>
      </x:c>
    </x:row>
    <x:row r="41">
      <x:c r="A41" t="str">
        <x:v>Upgrade Plus → Premium / an</x:v>
      </x:c>
      <x:c r="B41" s="24" t="n">
        <x:v>0.01</x:v>
      </x:c>
      <x:c r="C41" s="24" t="n">
        <x:v>0.02</x:v>
      </x:c>
      <x:c r="D41" s="24" t="n">
        <x:v>0.04</x:v>
      </x:c>
      <x:c r="E41" t="str">
        <x:v>Taux annuel appliqué à la base Plus installée.</x:v>
      </x:c>
    </x:row>
    <x:row r="42">
      <x:c r="A42" t="str">
        <x:v>Renouvellement Premium annuel</x:v>
      </x:c>
      <x:c r="B42" s="24" t="n">
        <x:v>0.5</x:v>
      </x:c>
      <x:c r="C42" s="24" t="n">
        <x:v>0.6</x:v>
      </x:c>
      <x:c r="D42" s="24" t="n">
        <x:v>0.7</x:v>
      </x:c>
      <x:c r="E42" t="str">
        <x:v>Hypothèse de rétention annuelle.</x:v>
      </x:c>
    </x:row>
    <x:row r="43">
      <x:c r="A43" t="str">
        <x:v>Coût fondateur mensuel — A1</x:v>
      </x:c>
      <x:c r="B43" s="26" t="n">
        <x:v>0</x:v>
      </x:c>
      <x:c r="C43" s="26" t="n">
        <x:v>0</x:v>
      </x:c>
      <x:c r="D43" s="26" t="n">
        <x:v>0</x:v>
      </x:c>
      <x:c r="E43" t="str">
        <x:v>Enveloppe de coût société, pas salaire net.</x:v>
      </x:c>
    </x:row>
    <x:row r="44">
      <x:c r="A44" t="str">
        <x:v>Coût fondateur mensuel — A2</x:v>
      </x:c>
      <x:c r="B44" s="26" t="n">
        <x:v>1000</x:v>
      </x:c>
      <x:c r="C44" s="26" t="n">
        <x:v>2000</x:v>
      </x:c>
      <x:c r="D44" s="26" t="n">
        <x:v>3000</x:v>
      </x:c>
      <x:c r="E44" t="str">
        <x:v>Enveloppe volontairement progressive.</x:v>
      </x:c>
    </x:row>
    <x:row r="45">
      <x:c r="A45" t="str">
        <x:v>Coût fondateur mensuel — A3</x:v>
      </x:c>
      <x:c r="B45" s="26" t="n">
        <x:v>2000</x:v>
      </x:c>
      <x:c r="C45" s="26" t="n">
        <x:v>3000</x:v>
      </x:c>
      <x:c r="D45" s="26" t="n">
        <x:v>5000</x:v>
      </x:c>
      <x:c r="E45" t="str">
        <x:v>Enveloppe volontairement progressive.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14" hidden="0" customWidth="1"/>
    <x:col min="4" max="4" width="17" hidden="0" customWidth="1"/>
    <x:col min="5" max="5" width="12" hidden="0" customWidth="1"/>
    <x:col min="6" max="6" width="12" hidden="0" customWidth="1"/>
    <x:col min="7" max="7" width="14" hidden="0" customWidth="1"/>
    <x:col min="8" max="8" width="17" hidden="0" customWidth="1"/>
    <x:col min="9" max="9" width="18" hidden="0" customWidth="1"/>
    <x:col min="10" max="10" width="17" hidden="0" customWidth="1"/>
    <x:col min="11" max="11" width="18" hidden="0" customWidth="1"/>
    <x:col min="12" max="12" width="13" hidden="0" customWidth="1"/>
    <x:col min="13" max="13" width="14" hidden="0" customWidth="1"/>
    <x:col min="14" max="14" width="18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4" hidden="0" customWidth="1"/>
    <x:col min="20" max="20" width="11" hidden="0" customWidth="1"/>
    <x:col min="21" max="21" width="13" hidden="0" customWidth="1"/>
    <x:col min="22" max="22" width="19" hidden="0" customWidth="1"/>
    <x:col min="23" max="23" width="13" hidden="0" customWidth="1"/>
    <x:col min="24" max="24" width="16" hidden="0" customWidth="1"/>
    <x:col min="25" max="25" width="16" hidden="0" customWidth="1"/>
  </x:cols>
  <x:sheetData>
    <x:row r="1">
      <x:c r="A1" s="3" t="str">
        <x:v>WHERIS — Prévisionnel 36 mois — Scénario Prudent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3">
      <x:c r="A3" s="34" t="str">
        <x:v>Mois</x:v>
      </x:c>
      <x:c r="B3" s="34" t="str">
        <x:v>Date</x:v>
      </x:c>
      <x:c r="C3" s="34" t="str">
        <x:v>Installations totales</x:v>
      </x:c>
      <x:c r="D3" s="34" t="str">
        <x:v>Installations cumulées</x:v>
      </x:c>
      <x:c r="E3" s="34" t="str">
        <x:v>MAU estimés</x:v>
      </x:c>
      <x:c r="F3" s="34" t="str">
        <x:v>Achats Plus</x:v>
      </x:c>
      <x:c r="G3" s="34" t="str">
        <x:v>Base Plus cumulée</x:v>
      </x:c>
      <x:c r="H3" s="34" t="str">
        <x:v>Premium direct — nouveaux</x:v>
      </x:c>
      <x:c r="I3" s="34" t="str">
        <x:v>Upgrade Plus→Premium</x:v>
      </x:c>
      <x:c r="J3" s="34" t="str">
        <x:v>Renouv. Premium direct</x:v>
      </x:c>
      <x:c r="K3" s="34" t="str">
        <x:v>Renouv. Premium upgrade</x:v>
      </x:c>
      <x:c r="L3" s="34" t="str">
        <x:v>Premium actifs</x:v>
      </x:c>
      <x:c r="M3" s="34" t="str">
        <x:v>CA brut TTC</x:v>
      </x:c>
      <x:c r="N3" s="34" t="str">
        <x:v>Revenu net HT après store</x:v>
      </x:c>
      <x:c r="O3" s="34" t="str">
        <x:v>Mapbox</x:v>
      </x:c>
      <x:c r="P3" s="34" t="str">
        <x:v>Cloud</x:v>
      </x:c>
      <x:c r="Q3" s="34" t="str">
        <x:v>Marketing</x:v>
      </x:c>
      <x:c r="R3" s="34" t="str">
        <x:v>Outils</x:v>
      </x:c>
      <x:c r="S3" s="34" t="str">
        <x:v>Compta / juridique</x:v>
      </x:c>
      <x:c r="T3" s="34" t="str">
        <x:v>Autres frais</x:v>
      </x:c>
      <x:c r="U3" s="34" t="str">
        <x:v>Coût fondateur</x:v>
      </x:c>
      <x:c r="V3" s="34" t="str">
        <x:v>Contribution produit avant fondateur</x:v>
      </x:c>
      <x:c r="W3" s="34" t="str">
        <x:v>OPEX total</x:v>
      </x:c>
      <x:c r="X3" s="34" t="str">
        <x:v>Résultat opérationnel</x:v>
      </x:c>
      <x:c r="Y3" s="34" t="str">
        <x:v>Trésorerie cumulée</x:v>
      </x:c>
      <x:c r="Z3" t="str">
        <x:v>RevenueCat</x:v>
      </x:c>
    </x:row>
    <x:row r="4">
      <x:c r="A4" s="50" t="n">
        <x:v>1</x:v>
      </x:c>
      <x:c r="B4" s="51" t="n">
        <x:v>46388</x:v>
      </x:c>
      <x:c r="C4" s="113" t="n">
        <x:f>'Acquisition'!$F$4</x:f>
        <x:v>1000</x:v>
      </x:c>
      <x:c r="D4" s="52" t="n">
        <x:f>SUM($C$4:C4)</x:f>
        <x:v>1000</x:v>
      </x:c>
      <x:c r="E4" s="52" t="n">
        <x:f>C4*'Cohortes MAU'!$D$4</x:f>
        <x:v>200</x:v>
      </x:c>
      <x:c r="F4" s="52" t="n">
        <x:v>0</x:v>
      </x:c>
      <x:c r="G4" s="52" t="n">
        <x:f>SUM($F$4:F4)</x:f>
        <x:v>0</x:v>
      </x:c>
      <x:c r="H4" s="52" t="n">
        <x:v>0</x:v>
      </x:c>
      <x:c r="I4" s="52" t="n">
        <x:v>0</x:v>
      </x:c>
      <x:c r="J4" s="52" t="n">
        <x:v>0</x:v>
      </x:c>
      <x:c r="K4" s="52" t="n">
        <x:v>0</x:v>
      </x:c>
      <x:c r="L4" s="52" t="n">
        <x:f>SUM(H4:K4)</x:f>
        <x:v>0</x:v>
      </x:c>
      <x:c r="M4" s="53" t="n">
        <x:f>F4*'Hypothèses'!$B$6+H4*'Hypothèses'!$B$7+I4*'Hypothèses'!$B$8+J4*'Hypothèses'!$B$7+K4*'Hypothèses'!$B$8</x:f>
        <x:v>0</x:v>
      </x:c>
      <x:c r="N4" s="53" t="n">
        <x:f>M4/(1+'Hypothèses'!$B$9)*(1-'Hypothèses'!$B$10)</x:f>
        <x:v>0</x:v>
      </x:c>
      <x:c r="O4" s="53" t="n">
        <x:f>(MAX(MIN(E4-'Hypothèses'!$B$24,'Hypothèses'!$B$25-'Hypothèses'!$B$24),0)/1000*'Hypothèses'!$B$26+MAX(MIN(E4-'Hypothèses'!$B$25,'Hypothèses'!$B$27-'Hypothèses'!$B$25),0)/1000*'Hypothèses'!$B$28+MAX(E4-'Hypothèses'!$B$27,0)/1000*'Hypothèses'!$B$29)*'Hypothèses'!$B$30</x:f>
        <x:v>0</x:v>
      </x:c>
      <x:c r="P4" s="53" t="n">
        <x:f>IF(A4&gt;='Hypothèses'!$B$12,'Hypothèses'!$B$15,0)+L4*'Hypothèses'!$B$16</x:f>
        <x:v>0</x:v>
      </x:c>
      <x:c r="Q4" s="53" t="n">
        <x:f>MAX(N4*'Hypothèses'!$B$17,'Hypothèses'!$B$18)+'Acquisition'!$C$4</x:f>
        <x:v>300</x:v>
      </x:c>
      <x:c r="R4" s="53" t="n">
        <x:f>'Hypothèses'!$B$21</x:f>
        <x:v>150</x:v>
      </x:c>
      <x:c r="S4" s="53" t="n">
        <x:f>'Hypothèses'!$B$19</x:f>
        <x:v>200</x:v>
      </x:c>
      <x:c r="T4" s="53" t="n">
        <x:f>'Hypothèses'!$B$20</x:f>
        <x:v>100</x:v>
      </x:c>
      <x:c r="U4" s="53" t="n">
        <x:f>'Hypothèses'!$B$43</x:f>
        <x:v>0</x:v>
      </x:c>
      <x:c r="V4" s="53" t="n">
        <x:f>N4-SUM(O4:T4)-Z4</x:f>
        <x:v>-750</x:v>
      </x:c>
      <x:c r="W4" s="53" t="n">
        <x:f>SUM(O4:U4)+Z4</x:f>
        <x:v>750</x:v>
      </x:c>
      <x:c r="X4" s="53" t="n">
        <x:f>N4-W4</x:f>
        <x:v>-750</x:v>
      </x:c>
      <x:c r="Y4" s="53" t="n">
        <x:f>X4</x:f>
        <x:v>-750</x:v>
      </x:c>
      <x:c r="Z4" t="n">
        <x:f>IF(M4&gt;='Hypothèses'!$B$31*'Hypothèses'!$B$30,M4*'Hypothèses'!$B$32,0)</x:f>
        <x:v>0</x:v>
      </x:c>
    </x:row>
    <x:row r="5">
      <x:c r="A5" s="50" t="n">
        <x:v>2</x:v>
      </x:c>
      <x:c r="B5" s="51" t="n">
        <x:v>46419</x:v>
      </x:c>
      <x:c r="C5" s="113" t="n">
        <x:f>'Acquisition'!$F$5</x:f>
        <x:v>1050</x:v>
      </x:c>
      <x:c r="D5" s="52" t="n">
        <x:f>SUM($C$4:C5)</x:f>
        <x:v>2050</x:v>
      </x:c>
      <x:c r="E5" s="52" t="n">
        <x:f>C4*'Cohortes MAU'!$D$5+C5*'Cohortes MAU'!$D$4</x:f>
        <x:v>410</x:v>
      </x:c>
      <x:c r="F5" s="52" t="n">
        <x:v>0</x:v>
      </x:c>
      <x:c r="G5" s="52" t="n">
        <x:f>SUM($F$4:F5)</x:f>
        <x:v>0</x:v>
      </x:c>
      <x:c r="H5" s="52" t="n">
        <x:v>0</x:v>
      </x:c>
      <x:c r="I5" s="52" t="n">
        <x:v>0</x:v>
      </x:c>
      <x:c r="J5" s="52" t="n">
        <x:v>0</x:v>
      </x:c>
      <x:c r="K5" s="52" t="n">
        <x:v>0</x:v>
      </x:c>
      <x:c r="L5" s="52" t="n">
        <x:f>SUM(H4:K5)</x:f>
        <x:v>0</x:v>
      </x:c>
      <x:c r="M5" s="53" t="n">
        <x:f>F5*'Hypothèses'!$B$6+H5*'Hypothèses'!$B$7+I5*'Hypothèses'!$B$8+J5*'Hypothèses'!$B$7+K5*'Hypothèses'!$B$8</x:f>
        <x:v>0</x:v>
      </x:c>
      <x:c r="N5" s="53" t="n">
        <x:f>M5/(1+'Hypothèses'!$B$9)*(1-'Hypothèses'!$B$10)</x:f>
        <x:v>0</x:v>
      </x:c>
      <x:c r="O5" s="53" t="n">
        <x:f>(MAX(MIN(E5-'Hypothèses'!$B$24,'Hypothèses'!$B$25-'Hypothèses'!$B$24),0)/1000*'Hypothèses'!$B$26+MAX(MIN(E5-'Hypothèses'!$B$25,'Hypothèses'!$B$27-'Hypothèses'!$B$25),0)/1000*'Hypothèses'!$B$28+MAX(E5-'Hypothèses'!$B$27,0)/1000*'Hypothèses'!$B$29)*'Hypothèses'!$B$30</x:f>
        <x:v>0</x:v>
      </x:c>
      <x:c r="P5" s="53" t="n">
        <x:f>IF(A5&gt;='Hypothèses'!$B$12,'Hypothèses'!$B$15,0)+L5*'Hypothèses'!$B$16</x:f>
        <x:v>0</x:v>
      </x:c>
      <x:c r="Q5" s="53" t="n">
        <x:f>MAX(N5*'Hypothèses'!$B$17,'Hypothèses'!$B$18)+'Acquisition'!$C$5</x:f>
        <x:v>300</x:v>
      </x:c>
      <x:c r="R5" s="53" t="n">
        <x:f>'Hypothèses'!$B$21</x:f>
        <x:v>150</x:v>
      </x:c>
      <x:c r="S5" s="53" t="n">
        <x:f>'Hypothèses'!$B$19</x:f>
        <x:v>200</x:v>
      </x:c>
      <x:c r="T5" s="53" t="n">
        <x:f>'Hypothèses'!$B$20</x:f>
        <x:v>100</x:v>
      </x:c>
      <x:c r="U5" s="53" t="n">
        <x:f>'Hypothèses'!$B$43</x:f>
        <x:v>0</x:v>
      </x:c>
      <x:c r="V5" s="53" t="n">
        <x:f>N5-SUM(O5:T5)-Z5</x:f>
        <x:v>-750</x:v>
      </x:c>
      <x:c r="W5" s="53" t="n">
        <x:f>SUM(O5:U5)+Z5</x:f>
        <x:v>750</x:v>
      </x:c>
      <x:c r="X5" s="53" t="n">
        <x:f>N5-W5</x:f>
        <x:v>-750</x:v>
      </x:c>
      <x:c r="Y5" s="53" t="n">
        <x:f>Y4+X5</x:f>
        <x:v>-1500</x:v>
      </x:c>
      <x:c r="Z5" t="n">
        <x:f>IF(M5&gt;='Hypothèses'!$B$31*'Hypothèses'!$B$30,M5*'Hypothèses'!$B$32,0)</x:f>
        <x:v>0</x:v>
      </x:c>
    </x:row>
    <x:row r="6">
      <x:c r="A6" s="50" t="n">
        <x:v>3</x:v>
      </x:c>
      <x:c r="B6" s="51" t="n">
        <x:v>46447</x:v>
      </x:c>
      <x:c r="C6" s="113" t="n">
        <x:f>'Acquisition'!$F$6</x:f>
        <x:v>1102.5</x:v>
      </x:c>
      <x:c r="D6" s="52" t="n">
        <x:f>SUM($C$4:C6)</x:f>
        <x:v>3152.5</x:v>
      </x:c>
      <x:c r="E6" s="52" t="n">
        <x:f>C4*'Cohortes MAU'!$D$6+C5*'Cohortes MAU'!$D$5+C6*'Cohortes MAU'!$D$4</x:f>
        <x:v>630.5</x:v>
      </x:c>
      <x:c r="F6" s="52" t="n">
        <x:f>C4*'Hypothèses'!$B$39</x:f>
        <x:v>15</x:v>
      </x:c>
      <x:c r="G6" s="52" t="n">
        <x:f>SUM($F$4:F6)</x:f>
        <x:v>15</x:v>
      </x:c>
      <x:c r="H6" s="52" t="n">
        <x:v>0</x:v>
      </x:c>
      <x:c r="I6" s="52" t="n">
        <x:v>0</x:v>
      </x:c>
      <x:c r="J6" s="52" t="n">
        <x:v>0</x:v>
      </x:c>
      <x:c r="K6" s="52" t="n">
        <x:v>0</x:v>
      </x:c>
      <x:c r="L6" s="52" t="n">
        <x:f>SUM(H4:K6)</x:f>
        <x:v>0</x:v>
      </x:c>
      <x:c r="M6" s="53" t="n">
        <x:f>F6*'Hypothèses'!$B$6+H6*'Hypothèses'!$B$7+I6*'Hypothèses'!$B$8+J6*'Hypothèses'!$B$7+K6*'Hypothèses'!$B$8</x:f>
        <x:v>299.84999999999997</x:v>
      </x:c>
      <x:c r="N6" s="53" t="n">
        <x:f>M6/(1+'Hypothèses'!$B$9)*(1-'Hypothèses'!$B$10)</x:f>
        <x:v>212.39374999999998</x:v>
      </x:c>
      <x:c r="O6" s="53" t="n">
        <x:f>(MAX(MIN(E6-'Hypothèses'!$B$24,'Hypothèses'!$B$25-'Hypothèses'!$B$24),0)/1000*'Hypothèses'!$B$26+MAX(MIN(E6-'Hypothèses'!$B$25,'Hypothèses'!$B$27-'Hypothèses'!$B$25),0)/1000*'Hypothèses'!$B$28+MAX(E6-'Hypothèses'!$B$27,0)/1000*'Hypothèses'!$B$29)*'Hypothèses'!$B$30</x:f>
        <x:v>0</x:v>
      </x:c>
      <x:c r="P6" s="53" t="n">
        <x:f>IF(A6&gt;='Hypothèses'!$B$12,'Hypothèses'!$B$15,0)+L6*'Hypothèses'!$B$16</x:f>
        <x:v>0</x:v>
      </x:c>
      <x:c r="Q6" s="53" t="n">
        <x:f>MAX(N6*'Hypothèses'!$B$17,'Hypothèses'!$B$18)+'Acquisition'!$C$6</x:f>
        <x:v>300</x:v>
      </x:c>
      <x:c r="R6" s="53" t="n">
        <x:f>'Hypothèses'!$B$21</x:f>
        <x:v>150</x:v>
      </x:c>
      <x:c r="S6" s="53" t="n">
        <x:f>'Hypothèses'!$B$19</x:f>
        <x:v>200</x:v>
      </x:c>
      <x:c r="T6" s="53" t="n">
        <x:f>'Hypothèses'!$B$20</x:f>
        <x:v>100</x:v>
      </x:c>
      <x:c r="U6" s="53" t="n">
        <x:f>'Hypothèses'!$B$43</x:f>
        <x:v>0</x:v>
      </x:c>
      <x:c r="V6" s="53" t="n">
        <x:f>N6-SUM(O6:T6)-Z6</x:f>
        <x:v>-537.60625</x:v>
      </x:c>
      <x:c r="W6" s="53" t="n">
        <x:f>SUM(O6:U6)+Z6</x:f>
        <x:v>750</x:v>
      </x:c>
      <x:c r="X6" s="53" t="n">
        <x:f>N6-W6</x:f>
        <x:v>-537.60625</x:v>
      </x:c>
      <x:c r="Y6" s="53" t="n">
        <x:f>Y5+X6</x:f>
        <x:v>-2037.60625</x:v>
      </x:c>
      <x:c r="Z6" t="n">
        <x:f>IF(M6&gt;='Hypothèses'!$B$31*'Hypothèses'!$B$30,M6*'Hypothèses'!$B$32,0)</x:f>
        <x:v>0</x:v>
      </x:c>
    </x:row>
    <x:row r="7">
      <x:c r="A7" s="50" t="n">
        <x:v>4</x:v>
      </x:c>
      <x:c r="B7" s="51" t="n">
        <x:v>46478</x:v>
      </x:c>
      <x:c r="C7" s="113" t="n">
        <x:f>'Acquisition'!$F$7</x:f>
        <x:v>1157.625</x:v>
      </x:c>
      <x:c r="D7" s="52" t="n">
        <x:f>SUM($C$4:C7)</x:f>
        <x:v>4310.125</x:v>
      </x:c>
      <x:c r="E7" s="52" t="n">
        <x:f>C4*'Cohortes MAU'!$D$7+C5*'Cohortes MAU'!$D$6+C6*'Cohortes MAU'!$D$5+C7*'Cohortes MAU'!$D$4</x:f>
        <x:v>862.025</x:v>
      </x:c>
      <x:c r="F7" s="52" t="n">
        <x:f>C5*'Hypothèses'!$B$39</x:f>
        <x:v>15.75</x:v>
      </x:c>
      <x:c r="G7" s="52" t="n">
        <x:f>SUM($F$4:F7)</x:f>
        <x:v>30.75</x:v>
      </x:c>
      <x:c r="H7" s="52" t="n">
        <x:v>0</x:v>
      </x:c>
      <x:c r="I7" s="52" t="n">
        <x:v>0</x:v>
      </x:c>
      <x:c r="J7" s="52" t="n">
        <x:v>0</x:v>
      </x:c>
      <x:c r="K7" s="52" t="n">
        <x:v>0</x:v>
      </x:c>
      <x:c r="L7" s="52" t="n">
        <x:f>SUM(H4:K7)</x:f>
        <x:v>0</x:v>
      </x:c>
      <x:c r="M7" s="53" t="n">
        <x:f>F7*'Hypothèses'!$B$6+H7*'Hypothèses'!$B$7+I7*'Hypothèses'!$B$8+J7*'Hypothèses'!$B$7+K7*'Hypothèses'!$B$8</x:f>
        <x:v>314.8425</x:v>
      </x:c>
      <x:c r="N7" s="53" t="n">
        <x:f>M7/(1+'Hypothèses'!$B$9)*(1-'Hypothèses'!$B$10)</x:f>
        <x:v>223.01343749999998</x:v>
      </x:c>
      <x:c r="O7" s="53" t="n">
        <x:f>(MAX(MIN(E7-'Hypothèses'!$B$24,'Hypothèses'!$B$25-'Hypothèses'!$B$24),0)/1000*'Hypothèses'!$B$26+MAX(MIN(E7-'Hypothèses'!$B$25,'Hypothèses'!$B$27-'Hypothèses'!$B$25),0)/1000*'Hypothèses'!$B$28+MAX(E7-'Hypothèses'!$B$27,0)/1000*'Hypothèses'!$B$29)*'Hypothèses'!$B$30</x:f>
        <x:v>0</x:v>
      </x:c>
      <x:c r="P7" s="53" t="n">
        <x:f>IF(A7&gt;='Hypothèses'!$B$12,'Hypothèses'!$B$15,0)+L7*'Hypothèses'!$B$16</x:f>
        <x:v>0</x:v>
      </x:c>
      <x:c r="Q7" s="53" t="n">
        <x:f>MAX(N7*'Hypothèses'!$B$17,'Hypothèses'!$B$18)+'Acquisition'!$C$7</x:f>
        <x:v>300</x:v>
      </x:c>
      <x:c r="R7" s="53" t="n">
        <x:f>'Hypothèses'!$B$21</x:f>
        <x:v>150</x:v>
      </x:c>
      <x:c r="S7" s="53" t="n">
        <x:f>'Hypothèses'!$B$19</x:f>
        <x:v>200</x:v>
      </x:c>
      <x:c r="T7" s="53" t="n">
        <x:f>'Hypothèses'!$B$20</x:f>
        <x:v>100</x:v>
      </x:c>
      <x:c r="U7" s="53" t="n">
        <x:f>'Hypothèses'!$B$43</x:f>
        <x:v>0</x:v>
      </x:c>
      <x:c r="V7" s="53" t="n">
        <x:f>N7-SUM(O7:T7)-Z7</x:f>
        <x:v>-526.9865625</x:v>
      </x:c>
      <x:c r="W7" s="53" t="n">
        <x:f>SUM(O7:U7)+Z7</x:f>
        <x:v>750</x:v>
      </x:c>
      <x:c r="X7" s="53" t="n">
        <x:f>N7-W7</x:f>
        <x:v>-526.9865625</x:v>
      </x:c>
      <x:c r="Y7" s="53" t="n">
        <x:f>Y6+X7</x:f>
        <x:v>-2564.5928125</x:v>
      </x:c>
      <x:c r="Z7" t="n">
        <x:f>IF(M7&gt;='Hypothèses'!$B$31*'Hypothèses'!$B$30,M7*'Hypothèses'!$B$32,0)</x:f>
        <x:v>0</x:v>
      </x:c>
    </x:row>
    <x:row r="8">
      <x:c r="A8" s="50" t="n">
        <x:v>5</x:v>
      </x:c>
      <x:c r="B8" s="51" t="n">
        <x:v>46508</x:v>
      </x:c>
      <x:c r="C8" s="113" t="n">
        <x:f>'Acquisition'!$F$8</x:f>
        <x:v>1215.5062500000001</x:v>
      </x:c>
      <x:c r="D8" s="52" t="n">
        <x:f>SUM($C$4:C8)</x:f>
        <x:v>5525.63125</x:v>
      </x:c>
      <x:c r="E8" s="52" t="n">
        <x:f>C4*'Cohortes MAU'!$D$8+C5*'Cohortes MAU'!$D$7+C6*'Cohortes MAU'!$D$6+C7*'Cohortes MAU'!$D$5+C8*'Cohortes MAU'!$D$4</x:f>
        <x:v>1105.12625</x:v>
      </x:c>
      <x:c r="F8" s="52" t="n">
        <x:f>C6*'Hypothèses'!$B$39</x:f>
        <x:v>16.537499999999998</x:v>
      </x:c>
      <x:c r="G8" s="52" t="n">
        <x:f>SUM($F$4:F8)</x:f>
        <x:v>47.287499999999994</x:v>
      </x:c>
      <x:c r="H8" s="52" t="n">
        <x:v>0</x:v>
      </x:c>
      <x:c r="I8" s="52" t="n">
        <x:v>0</x:v>
      </x:c>
      <x:c r="J8" s="52" t="n">
        <x:v>0</x:v>
      </x:c>
      <x:c r="K8" s="52" t="n">
        <x:v>0</x:v>
      </x:c>
      <x:c r="L8" s="52" t="n">
        <x:f>SUM(H4:K8)</x:f>
        <x:v>0</x:v>
      </x:c>
      <x:c r="M8" s="53" t="n">
        <x:f>F8*'Hypothèses'!$B$6+H8*'Hypothèses'!$B$7+I8*'Hypothèses'!$B$8+J8*'Hypothèses'!$B$7+K8*'Hypothèses'!$B$8</x:f>
        <x:v>330.5846249999999</x:v>
      </x:c>
      <x:c r="N8" s="53" t="n">
        <x:f>M8/(1+'Hypothèses'!$B$9)*(1-'Hypothèses'!$B$10)</x:f>
        <x:v>234.16410937499995</x:v>
      </x:c>
      <x:c r="O8" s="53" t="n">
        <x:f>(MAX(MIN(E8-'Hypothèses'!$B$24,'Hypothèses'!$B$25-'Hypothèses'!$B$24),0)/1000*'Hypothèses'!$B$26+MAX(MIN(E8-'Hypothèses'!$B$25,'Hypothèses'!$B$27-'Hypothèses'!$B$25),0)/1000*'Hypothèses'!$B$28+MAX(E8-'Hypothèses'!$B$27,0)/1000*'Hypothèses'!$B$29)*'Hypothèses'!$B$30</x:f>
        <x:v>0</x:v>
      </x:c>
      <x:c r="P8" s="53" t="n">
        <x:f>IF(A8&gt;='Hypothèses'!$B$12,'Hypothèses'!$B$15,0)+L8*'Hypothèses'!$B$16</x:f>
        <x:v>0</x:v>
      </x:c>
      <x:c r="Q8" s="53" t="n">
        <x:f>MAX(N8*'Hypothèses'!$B$17,'Hypothèses'!$B$18)+'Acquisition'!$C$8</x:f>
        <x:v>300</x:v>
      </x:c>
      <x:c r="R8" s="53" t="n">
        <x:f>'Hypothèses'!$B$21</x:f>
        <x:v>150</x:v>
      </x:c>
      <x:c r="S8" s="53" t="n">
        <x:f>'Hypothèses'!$B$19</x:f>
        <x:v>200</x:v>
      </x:c>
      <x:c r="T8" s="53" t="n">
        <x:f>'Hypothèses'!$B$20</x:f>
        <x:v>100</x:v>
      </x:c>
      <x:c r="U8" s="53" t="n">
        <x:f>'Hypothèses'!$B$43</x:f>
        <x:v>0</x:v>
      </x:c>
      <x:c r="V8" s="53" t="n">
        <x:f>N8-SUM(O8:T8)-Z8</x:f>
        <x:v>-515.835890625</x:v>
      </x:c>
      <x:c r="W8" s="53" t="n">
        <x:f>SUM(O8:U8)+Z8</x:f>
        <x:v>750</x:v>
      </x:c>
      <x:c r="X8" s="53" t="n">
        <x:f>N8-W8</x:f>
        <x:v>-515.835890625</x:v>
      </x:c>
      <x:c r="Y8" s="53" t="n">
        <x:f>Y7+X8</x:f>
        <x:v>-3080.428703125</x:v>
      </x:c>
      <x:c r="Z8" t="n">
        <x:f>IF(M8&gt;='Hypothèses'!$B$31*'Hypothèses'!$B$30,M8*'Hypothèses'!$B$32,0)</x:f>
        <x:v>0</x:v>
      </x:c>
    </x:row>
    <x:row r="9">
      <x:c r="A9" s="50" t="n">
        <x:v>6</x:v>
      </x:c>
      <x:c r="B9" s="51" t="n">
        <x:v>46539</x:v>
      </x:c>
      <x:c r="C9" s="113" t="n">
        <x:f>'Acquisition'!$F$9</x:f>
        <x:v>1276.2815625000003</x:v>
      </x:c>
      <x:c r="D9" s="52" t="n">
        <x:f>SUM($C$4:C9)</x:f>
        <x:v>6801.912812500001</x:v>
      </x:c>
      <x:c r="E9" s="52" t="n">
        <x:f>C4*'Cohortes MAU'!$D$9+C5*'Cohortes MAU'!$D$8+C6*'Cohortes MAU'!$D$7+C7*'Cohortes MAU'!$D$6+C8*'Cohortes MAU'!$D$5+C9*'Cohortes MAU'!$D$4</x:f>
        <x:v>1360.3825625000002</x:v>
      </x:c>
      <x:c r="F9" s="52" t="n">
        <x:f>C7*'Hypothèses'!$B$39</x:f>
        <x:v>17.364375</x:v>
      </x:c>
      <x:c r="G9" s="52" t="n">
        <x:f>SUM($F$4:F9)</x:f>
        <x:v>64.65187499999999</x:v>
      </x:c>
      <x:c r="H9" s="52" t="n">
        <x:v>0</x:v>
      </x:c>
      <x:c r="I9" s="52" t="n">
        <x:v>0</x:v>
      </x:c>
      <x:c r="J9" s="52" t="n">
        <x:v>0</x:v>
      </x:c>
      <x:c r="K9" s="52" t="n">
        <x:v>0</x:v>
      </x:c>
      <x:c r="L9" s="52" t="n">
        <x:f>SUM(H4:K9)</x:f>
        <x:v>0</x:v>
      </x:c>
      <x:c r="M9" s="53" t="n">
        <x:f>F9*'Hypothèses'!$B$6+H9*'Hypothèses'!$B$7+I9*'Hypothèses'!$B$8+J9*'Hypothèses'!$B$7+K9*'Hypothèses'!$B$8</x:f>
        <x:v>347.11385624999997</x:v>
      </x:c>
      <x:c r="N9" s="53" t="n">
        <x:f>M9/(1+'Hypothèses'!$B$9)*(1-'Hypothèses'!$B$10)</x:f>
        <x:v>245.87231484374996</x:v>
      </x:c>
      <x:c r="O9" s="53" t="n">
        <x:f>(MAX(MIN(E9-'Hypothèses'!$B$24,'Hypothèses'!$B$25-'Hypothèses'!$B$24),0)/1000*'Hypothèses'!$B$26+MAX(MIN(E9-'Hypothèses'!$B$25,'Hypothèses'!$B$27-'Hypothèses'!$B$25),0)/1000*'Hypothèses'!$B$28+MAX(E9-'Hypothèses'!$B$27,0)/1000*'Hypothèses'!$B$29)*'Hypothèses'!$B$30</x:f>
        <x:v>0</x:v>
      </x:c>
      <x:c r="P9" s="53" t="n">
        <x:f>IF(A9&gt;='Hypothèses'!$B$12,'Hypothèses'!$B$15,0)+L9*'Hypothèses'!$B$16</x:f>
        <x:v>0</x:v>
      </x:c>
      <x:c r="Q9" s="53" t="n">
        <x:f>MAX(N9*'Hypothèses'!$B$17,'Hypothèses'!$B$18)+'Acquisition'!$C$9</x:f>
        <x:v>300</x:v>
      </x:c>
      <x:c r="R9" s="53" t="n">
        <x:f>'Hypothèses'!$B$21</x:f>
        <x:v>150</x:v>
      </x:c>
      <x:c r="S9" s="53" t="n">
        <x:f>'Hypothèses'!$B$19</x:f>
        <x:v>200</x:v>
      </x:c>
      <x:c r="T9" s="53" t="n">
        <x:f>'Hypothèses'!$B$20</x:f>
        <x:v>100</x:v>
      </x:c>
      <x:c r="U9" s="53" t="n">
        <x:f>'Hypothèses'!$B$43</x:f>
        <x:v>0</x:v>
      </x:c>
      <x:c r="V9" s="53" t="n">
        <x:f>N9-SUM(O9:T9)-Z9</x:f>
        <x:v>-504.12768515625004</x:v>
      </x:c>
      <x:c r="W9" s="53" t="n">
        <x:f>SUM(O9:U9)+Z9</x:f>
        <x:v>750</x:v>
      </x:c>
      <x:c r="X9" s="53" t="n">
        <x:f>N9-W9</x:f>
        <x:v>-504.12768515625004</x:v>
      </x:c>
      <x:c r="Y9" s="53" t="n">
        <x:f>Y8+X9</x:f>
        <x:v>-3584.5563882812503</x:v>
      </x:c>
      <x:c r="Z9" t="n">
        <x:f>IF(M9&gt;='Hypothèses'!$B$31*'Hypothèses'!$B$30,M9*'Hypothèses'!$B$32,0)</x:f>
        <x:v>0</x:v>
      </x:c>
    </x:row>
    <x:row r="10">
      <x:c r="A10" s="50" t="n">
        <x:v>7</x:v>
      </x:c>
      <x:c r="B10" s="51" t="n">
        <x:v>46569</x:v>
      </x:c>
      <x:c r="C10" s="113" t="n">
        <x:f>'Acquisition'!$F$10</x:f>
        <x:v>1340.0956406250004</x:v>
      </x:c>
      <x:c r="D10" s="52" t="n">
        <x:f>SUM($C$4:C10)</x:f>
        <x:v>8142.008453125001</x:v>
      </x:c>
      <x:c r="E10" s="52" t="n">
        <x:f>C4*'Cohortes MAU'!$D$10+C5*'Cohortes MAU'!$D$9+C6*'Cohortes MAU'!$D$8+C7*'Cohortes MAU'!$D$7+C8*'Cohortes MAU'!$D$6+C9*'Cohortes MAU'!$D$5+C10*'Cohortes MAU'!$D$4</x:f>
        <x:v>1628.4016906250004</x:v>
      </x:c>
      <x:c r="F10" s="52" t="n">
        <x:f>C8*'Hypothèses'!$B$39</x:f>
        <x:v>18.232593750000003</x:v>
      </x:c>
      <x:c r="G10" s="52" t="n">
        <x:f>SUM($F$4:F10)</x:f>
        <x:v>82.88446875</x:v>
      </x:c>
      <x:c r="H10" s="52" t="n">
        <x:v>0</x:v>
      </x:c>
      <x:c r="I10" s="52" t="n">
        <x:v>0</x:v>
      </x:c>
      <x:c r="J10" s="52" t="n">
        <x:v>0</x:v>
      </x:c>
      <x:c r="K10" s="52" t="n">
        <x:v>0</x:v>
      </x:c>
      <x:c r="L10" s="52" t="n">
        <x:f>SUM(H4:K10)</x:f>
        <x:v>0</x:v>
      </x:c>
      <x:c r="M10" s="53" t="n">
        <x:f>F10*'Hypothèses'!$B$6+H10*'Hypothèses'!$B$7+I10*'Hypothèses'!$B$8+J10*'Hypothèses'!$B$7+K10*'Hypothèses'!$B$8</x:f>
        <x:v>364.46954906250005</x:v>
      </x:c>
      <x:c r="N10" s="53" t="n">
        <x:f>M10/(1+'Hypothèses'!$B$9)*(1-'Hypothèses'!$B$10)</x:f>
        <x:v>258.1659305859376</x:v>
      </x:c>
      <x:c r="O10" s="53" t="n">
        <x:f>(MAX(MIN(E10-'Hypothèses'!$B$24,'Hypothèses'!$B$25-'Hypothèses'!$B$24),0)/1000*'Hypothèses'!$B$26+MAX(MIN(E10-'Hypothèses'!$B$25,'Hypothèses'!$B$27-'Hypothèses'!$B$25),0)/1000*'Hypothèses'!$B$28+MAX(E10-'Hypothèses'!$B$27,0)/1000*'Hypothèses'!$B$29)*'Hypothèses'!$B$30</x:f>
        <x:v>0</x:v>
      </x:c>
      <x:c r="P10" s="53" t="n">
        <x:f>IF(A10&gt;='Hypothèses'!$B$12,'Hypothèses'!$B$15,0)+L10*'Hypothèses'!$B$16</x:f>
        <x:v>0</x:v>
      </x:c>
      <x:c r="Q10" s="53" t="n">
        <x:f>MAX(N10*'Hypothèses'!$B$17,'Hypothèses'!$B$18)+'Acquisition'!$C$10</x:f>
        <x:v>300</x:v>
      </x:c>
      <x:c r="R10" s="53" t="n">
        <x:f>'Hypothèses'!$B$21</x:f>
        <x:v>150</x:v>
      </x:c>
      <x:c r="S10" s="53" t="n">
        <x:f>'Hypothèses'!$B$19</x:f>
        <x:v>200</x:v>
      </x:c>
      <x:c r="T10" s="53" t="n">
        <x:f>'Hypothèses'!$B$20</x:f>
        <x:v>100</x:v>
      </x:c>
      <x:c r="U10" s="53" t="n">
        <x:f>'Hypothèses'!$B$43</x:f>
        <x:v>0</x:v>
      </x:c>
      <x:c r="V10" s="53" t="n">
        <x:f>N10-SUM(O10:T10)-Z10</x:f>
        <x:v>-491.8340694140624</x:v>
      </x:c>
      <x:c r="W10" s="53" t="n">
        <x:f>SUM(O10:U10)+Z10</x:f>
        <x:v>750</x:v>
      </x:c>
      <x:c r="X10" s="53" t="n">
        <x:f>N10-W10</x:f>
        <x:v>-491.8340694140624</x:v>
      </x:c>
      <x:c r="Y10" s="53" t="n">
        <x:f>Y9+X10</x:f>
        <x:v>-4076.3904576953128</x:v>
      </x:c>
      <x:c r="Z10" t="n">
        <x:f>IF(M10&gt;='Hypothèses'!$B$31*'Hypothèses'!$B$30,M10*'Hypothèses'!$B$32,0)</x:f>
        <x:v>0</x:v>
      </x:c>
    </x:row>
    <x:row r="11">
      <x:c r="A11" s="50" t="n">
        <x:v>8</x:v>
      </x:c>
      <x:c r="B11" s="51" t="n">
        <x:v>46600</x:v>
      </x:c>
      <x:c r="C11" s="113" t="n">
        <x:f>'Acquisition'!$F$11</x:f>
        <x:v>1407.1004226562504</x:v>
      </x:c>
      <x:c r="D11" s="52" t="n">
        <x:f>SUM($C$4:C11)</x:f>
        <x:v>9549.108875781252</x:v>
      </x:c>
      <x:c r="E11" s="52" t="n">
        <x:f>C4*'Cohortes MAU'!$D$11+C5*'Cohortes MAU'!$D$10+C6*'Cohortes MAU'!$D$9+C7*'Cohortes MAU'!$D$8+C8*'Cohortes MAU'!$D$7+C9*'Cohortes MAU'!$D$6+C10*'Cohortes MAU'!$D$5+C11*'Cohortes MAU'!$D$4</x:f>
        <x:v>1909.8217751562504</x:v>
      </x:c>
      <x:c r="F11" s="52" t="n">
        <x:f>C9*'Hypothèses'!$B$39</x:f>
        <x:v>19.144223437500003</x:v>
      </x:c>
      <x:c r="G11" s="52" t="n">
        <x:f>SUM($F$4:F11)</x:f>
        <x:v>102.0286921875</x:v>
      </x:c>
      <x:c r="H11" s="52" t="n">
        <x:v>0</x:v>
      </x:c>
      <x:c r="I11" s="52" t="n">
        <x:v>0</x:v>
      </x:c>
      <x:c r="J11" s="52" t="n">
        <x:v>0</x:v>
      </x:c>
      <x:c r="K11" s="52" t="n">
        <x:v>0</x:v>
      </x:c>
      <x:c r="L11" s="52" t="n">
        <x:f>SUM(H4:K11)</x:f>
        <x:v>0</x:v>
      </x:c>
      <x:c r="M11" s="53" t="n">
        <x:f>F11*'Hypothèses'!$B$6+H11*'Hypothèses'!$B$7+I11*'Hypothèses'!$B$8+J11*'Hypothèses'!$B$7+K11*'Hypothèses'!$B$8</x:f>
        <x:v>382.69302651562504</x:v>
      </x:c>
      <x:c r="N11" s="53" t="n">
        <x:f>M11/(1+'Hypothèses'!$B$9)*(1-'Hypothèses'!$B$10)</x:f>
        <x:v>271.0742271152344</x:v>
      </x:c>
      <x:c r="O11" s="53" t="n">
        <x:f>(MAX(MIN(E11-'Hypothèses'!$B$24,'Hypothèses'!$B$25-'Hypothèses'!$B$24),0)/1000*'Hypothèses'!$B$26+MAX(MIN(E11-'Hypothèses'!$B$25,'Hypothèses'!$B$27-'Hypothèses'!$B$25),0)/1000*'Hypothèses'!$B$28+MAX(E11-'Hypothèses'!$B$27,0)/1000*'Hypothèses'!$B$29)*'Hypothèses'!$B$30</x:f>
        <x:v>0</x:v>
      </x:c>
      <x:c r="P11" s="53" t="n">
        <x:f>IF(A11&gt;='Hypothèses'!$B$12,'Hypothèses'!$B$15,0)+L11*'Hypothèses'!$B$16</x:f>
        <x:v>0</x:v>
      </x:c>
      <x:c r="Q11" s="53" t="n">
        <x:f>MAX(N11*'Hypothèses'!$B$17,'Hypothèses'!$B$18)+'Acquisition'!$C$11</x:f>
        <x:v>300</x:v>
      </x:c>
      <x:c r="R11" s="53" t="n">
        <x:f>'Hypothèses'!$B$21</x:f>
        <x:v>150</x:v>
      </x:c>
      <x:c r="S11" s="53" t="n">
        <x:f>'Hypothèses'!$B$19</x:f>
        <x:v>200</x:v>
      </x:c>
      <x:c r="T11" s="53" t="n">
        <x:f>'Hypothèses'!$B$20</x:f>
        <x:v>100</x:v>
      </x:c>
      <x:c r="U11" s="53" t="n">
        <x:f>'Hypothèses'!$B$43</x:f>
        <x:v>0</x:v>
      </x:c>
      <x:c r="V11" s="53" t="n">
        <x:f>N11-SUM(O11:T11)-Z11</x:f>
        <x:v>-478.9257728847656</x:v>
      </x:c>
      <x:c r="W11" s="53" t="n">
        <x:f>SUM(O11:U11)+Z11</x:f>
        <x:v>750</x:v>
      </x:c>
      <x:c r="X11" s="53" t="n">
        <x:f>N11-W11</x:f>
        <x:v>-478.9257728847656</x:v>
      </x:c>
      <x:c r="Y11" s="53" t="n">
        <x:f>Y10+X11</x:f>
        <x:v>-4555.316230580078</x:v>
      </x:c>
      <x:c r="Z11" t="n">
        <x:f>IF(M11&gt;='Hypothèses'!$B$31*'Hypothèses'!$B$30,M11*'Hypothèses'!$B$32,0)</x:f>
        <x:v>0</x:v>
      </x:c>
    </x:row>
    <x:row r="12">
      <x:c r="A12" s="50" t="n">
        <x:v>9</x:v>
      </x:c>
      <x:c r="B12" s="51" t="n">
        <x:v>46631</x:v>
      </x:c>
      <x:c r="C12" s="113" t="n">
        <x:f>'Acquisition'!$F$12</x:f>
        <x:v>1477.455443789063</x:v>
      </x:c>
      <x:c r="D12" s="52" t="n">
        <x:f>SUM($C$4:C12)</x:f>
        <x:v>11026.564319570316</x:v>
      </x:c>
      <x:c r="E12" s="52" t="n">
        <x:f>C4*'Cohortes MAU'!$D$12+C5*'Cohortes MAU'!$D$11+C6*'Cohortes MAU'!$D$10+C7*'Cohortes MAU'!$D$9+C8*'Cohortes MAU'!$D$8+C9*'Cohortes MAU'!$D$7+C10*'Cohortes MAU'!$D$6+C11*'Cohortes MAU'!$D$5+C12*'Cohortes MAU'!$D$4</x:f>
        <x:v>2205.312863914063</x:v>
      </x:c>
      <x:c r="F12" s="52" t="n">
        <x:f>C10*'Hypothèses'!$B$39</x:f>
        <x:v>20.101434609375005</x:v>
      </x:c>
      <x:c r="G12" s="52" t="n">
        <x:f>SUM($F$4:F12)</x:f>
        <x:v>122.130126796875</x:v>
      </x:c>
      <x:c r="H12" s="52" t="n">
        <x:v>0</x:v>
      </x:c>
      <x:c r="I12" s="52" t="n">
        <x:v>0</x:v>
      </x:c>
      <x:c r="J12" s="52" t="n">
        <x:v>0</x:v>
      </x:c>
      <x:c r="K12" s="52" t="n">
        <x:v>0</x:v>
      </x:c>
      <x:c r="L12" s="52" t="n">
        <x:f>SUM(H4:K12)</x:f>
        <x:v>0</x:v>
      </x:c>
      <x:c r="M12" s="53" t="n">
        <x:f>F12*'Hypothèses'!$B$6+H12*'Hypothèses'!$B$7+I12*'Hypothèses'!$B$8+J12*'Hypothèses'!$B$7+K12*'Hypothèses'!$B$8</x:f>
        <x:v>401.82767784140634</x:v>
      </x:c>
      <x:c r="N12" s="53" t="n">
        <x:f>M12/(1+'Hypothèses'!$B$9)*(1-'Hypothèses'!$B$10)</x:f>
        <x:v>284.6279384709961</x:v>
      </x:c>
      <x:c r="O12" s="53" t="n">
        <x:f>(MAX(MIN(E12-'Hypothèses'!$B$24,'Hypothèses'!$B$25-'Hypothèses'!$B$24),0)/1000*'Hypothèses'!$B$26+MAX(MIN(E12-'Hypothèses'!$B$25,'Hypothèses'!$B$27-'Hypothèses'!$B$25),0)/1000*'Hypothèses'!$B$28+MAX(E12-'Hypothèses'!$B$27,0)/1000*'Hypothèses'!$B$29)*'Hypothèses'!$B$30</x:f>
        <x:v>0</x:v>
      </x:c>
      <x:c r="P12" s="53" t="n">
        <x:f>IF(A12&gt;='Hypothèses'!$B$12,'Hypothèses'!$B$15,0)+L12*'Hypothèses'!$B$16</x:f>
        <x:v>0</x:v>
      </x:c>
      <x:c r="Q12" s="53" t="n">
        <x:f>MAX(N12*'Hypothèses'!$B$17,'Hypothèses'!$B$18)+'Acquisition'!$C$12</x:f>
        <x:v>300</x:v>
      </x:c>
      <x:c r="R12" s="53" t="n">
        <x:f>'Hypothèses'!$B$21</x:f>
        <x:v>150</x:v>
      </x:c>
      <x:c r="S12" s="53" t="n">
        <x:f>'Hypothèses'!$B$19</x:f>
        <x:v>200</x:v>
      </x:c>
      <x:c r="T12" s="53" t="n">
        <x:f>'Hypothèses'!$B$20</x:f>
        <x:v>100</x:v>
      </x:c>
      <x:c r="U12" s="53" t="n">
        <x:f>'Hypothèses'!$B$43</x:f>
        <x:v>0</x:v>
      </x:c>
      <x:c r="V12" s="53" t="n">
        <x:f>N12-SUM(O12:T12)-Z12</x:f>
        <x:v>-465.3720615290039</x:v>
      </x:c>
      <x:c r="W12" s="53" t="n">
        <x:f>SUM(O12:U12)+Z12</x:f>
        <x:v>750</x:v>
      </x:c>
      <x:c r="X12" s="53" t="n">
        <x:f>N12-W12</x:f>
        <x:v>-465.3720615290039</x:v>
      </x:c>
      <x:c r="Y12" s="53" t="n">
        <x:f>Y11+X12</x:f>
        <x:v>-5020.688292109082</x:v>
      </x:c>
      <x:c r="Z12" t="n">
        <x:f>IF(M12&gt;='Hypothèses'!$B$31*'Hypothèses'!$B$30,M12*'Hypothèses'!$B$32,0)</x:f>
        <x:v>0</x:v>
      </x:c>
    </x:row>
    <x:row r="13">
      <x:c r="A13" s="50" t="n">
        <x:v>10</x:v>
      </x:c>
      <x:c r="B13" s="51" t="n">
        <x:v>46661</x:v>
      </x:c>
      <x:c r="C13" s="113" t="n">
        <x:f>'Acquisition'!$F$13</x:f>
        <x:v>1551.3282159785163</x:v>
      </x:c>
      <x:c r="D13" s="52" t="n">
        <x:f>SUM($C$4:C13)</x:f>
        <x:v>12577.892535548832</x:v>
      </x:c>
      <x:c r="E13" s="52" t="n">
        <x:f>C4*'Cohortes MAU'!$D$13+C5*'Cohortes MAU'!$D$12+C6*'Cohortes MAU'!$D$11+C7*'Cohortes MAU'!$D$10+C8*'Cohortes MAU'!$D$9+C9*'Cohortes MAU'!$D$8+C10*'Cohortes MAU'!$D$7+C11*'Cohortes MAU'!$D$6+C12*'Cohortes MAU'!$D$5+C13*'Cohortes MAU'!$D$4</x:f>
        <x:v>2515.5785071097666</x:v>
      </x:c>
      <x:c r="F13" s="52" t="n">
        <x:f>C11*'Hypothèses'!$B$39</x:f>
        <x:v>21.106506339843754</x:v>
      </x:c>
      <x:c r="G13" s="52" t="n">
        <x:f>SUM($F$4:F13)</x:f>
        <x:v>143.23663313671875</x:v>
      </x:c>
      <x:c r="H13" s="52" t="n">
        <x:f>C10*'Hypothèses'!$B$40</x:f>
        <x:v>2.680191281250001</x:v>
      </x:c>
      <x:c r="I13" s="52" t="n">
        <x:f>G12*('Hypothèses'!$B$41/12)</x:f>
        <x:v>0.1017751056640625</x:v>
      </x:c>
      <x:c r="J13" s="52" t="n">
        <x:v>0</x:v>
      </x:c>
      <x:c r="K13" s="52" t="n">
        <x:v>0</x:v>
      </x:c>
      <x:c r="L13" s="52" t="n">
        <x:f>SUM(H4:K13)</x:f>
        <x:v>2.781966386914063</x:v>
      </x:c>
      <x:c r="M13" s="53" t="n">
        <x:f>F13*'Hypothèses'!$B$6+H13*'Hypothèses'!$B$7+I13*'Hypothèses'!$B$8+J13*'Hypothèses'!$B$7+K13*'Hypothèses'!$B$8</x:f>
        <x:v>504.3324826203887</x:v>
      </x:c>
      <x:c r="N13" s="53" t="n">
        <x:f>M13/(1+'Hypothèses'!$B$9)*(1-'Hypothèses'!$B$10)</x:f>
        <x:v>357.2355085227753</x:v>
      </x:c>
      <x:c r="O13" s="53" t="n">
        <x:f>(MAX(MIN(E13-'Hypothèses'!$B$24,'Hypothèses'!$B$25-'Hypothèses'!$B$24),0)/1000*'Hypothèses'!$B$26+MAX(MIN(E13-'Hypothèses'!$B$25,'Hypothèses'!$B$27-'Hypothèses'!$B$25),0)/1000*'Hypothèses'!$B$28+MAX(E13-'Hypothèses'!$B$27,0)/1000*'Hypothèses'!$B$29)*'Hypothèses'!$B$30</x:f>
        <x:v>0</x:v>
      </x:c>
      <x:c r="P13" s="53" t="n">
        <x:f>IF(A13&gt;='Hypothèses'!$B$12,'Hypothèses'!$B$15,0)+L13*'Hypothèses'!$B$16</x:f>
        <x:v>25.278196638691405</x:v>
      </x:c>
      <x:c r="Q13" s="53" t="n">
        <x:f>MAX(N13*'Hypothèses'!$B$17,'Hypothèses'!$B$18)+'Acquisition'!$C$13</x:f>
        <x:v>300</x:v>
      </x:c>
      <x:c r="R13" s="53" t="n">
        <x:f>'Hypothèses'!$B$21</x:f>
        <x:v>150</x:v>
      </x:c>
      <x:c r="S13" s="53" t="n">
        <x:f>'Hypothèses'!$B$19</x:f>
        <x:v>200</x:v>
      </x:c>
      <x:c r="T13" s="53" t="n">
        <x:f>'Hypothèses'!$B$20</x:f>
        <x:v>100</x:v>
      </x:c>
      <x:c r="U13" s="53" t="n">
        <x:f>'Hypothèses'!$B$43</x:f>
        <x:v>0</x:v>
      </x:c>
      <x:c r="V13" s="53" t="n">
        <x:f>N13-SUM(O13:T13)-Z13</x:f>
        <x:v>-418.04268811591606</x:v>
      </x:c>
      <x:c r="W13" s="53" t="n">
        <x:f>SUM(O13:U13)+Z13</x:f>
        <x:v>775.2781966386914</x:v>
      </x:c>
      <x:c r="X13" s="53" t="n">
        <x:f>N13-W13</x:f>
        <x:v>-418.04268811591606</x:v>
      </x:c>
      <x:c r="Y13" s="53" t="n">
        <x:f>Y12+X13</x:f>
        <x:v>-5438.730980224998</x:v>
      </x:c>
      <x:c r="Z13" t="n">
        <x:f>IF(M13&gt;='Hypothèses'!$B$31*'Hypothèses'!$B$30,M13*'Hypothèses'!$B$32,0)</x:f>
        <x:v>0</x:v>
      </x:c>
    </x:row>
    <x:row r="14">
      <x:c r="A14" s="50" t="n">
        <x:v>11</x:v>
      </x:c>
      <x:c r="B14" s="51" t="n">
        <x:v>46692</x:v>
      </x:c>
      <x:c r="C14" s="113" t="n">
        <x:f>'Acquisition'!$F$14</x:f>
        <x:v>1628.8946267774422</x:v>
      </x:c>
      <x:c r="D14" s="52" t="n">
        <x:f>SUM($C$4:C14)</x:f>
        <x:v>14206.787162326274</x:v>
      </x:c>
      <x:c r="E14" s="52" t="n">
        <x:f>C4*'Cohortes MAU'!$D$14+C5*'Cohortes MAU'!$D$13+C6*'Cohortes MAU'!$D$12+C7*'Cohortes MAU'!$D$11+C8*'Cohortes MAU'!$D$10+C9*'Cohortes MAU'!$D$9+C10*'Cohortes MAU'!$D$8+C11*'Cohortes MAU'!$D$7+C12*'Cohortes MAU'!$D$6+C13*'Cohortes MAU'!$D$5+C14*'Cohortes MAU'!$D$4</x:f>
        <x:v>2841.357432465255</x:v>
      </x:c>
      <x:c r="F14" s="52" t="n">
        <x:f>C12*'Hypothèses'!$B$39</x:f>
        <x:v>22.161831656835947</x:v>
      </x:c>
      <x:c r="G14" s="52" t="n">
        <x:f>SUM($F$4:F14)</x:f>
        <x:v>165.3984647935547</x:v>
      </x:c>
      <x:c r="H14" s="52" t="n">
        <x:f>C11*'Hypothèses'!$B$40</x:f>
        <x:v>2.814200845312501</x:v>
      </x:c>
      <x:c r="I14" s="52" t="n">
        <x:f>G13*('Hypothèses'!$B$41/12)</x:f>
        <x:v>0.11936386094726563</x:v>
      </x:c>
      <x:c r="J14" s="52" t="n">
        <x:v>0</x:v>
      </x:c>
      <x:c r="K14" s="52" t="n">
        <x:v>0</x:v>
      </x:c>
      <x:c r="L14" s="52" t="n">
        <x:f>SUM(H4:K14)</x:f>
        <x:v>5.71553109317383</x:v>
      </x:c>
      <x:c r="M14" s="53" t="n">
        <x:f>F14*'Hypothèses'!$B$6+H14*'Hypothèses'!$B$7+I14*'Hypothèses'!$B$8+J14*'Hypothèses'!$B$7+K14*'Hypothèses'!$B$8</x:f>
        <x:v>529.7989817514083</x:v>
      </x:c>
      <x:c r="N14" s="53" t="n">
        <x:f>M14/(1+'Hypothèses'!$B$9)*(1-'Hypothèses'!$B$10)</x:f>
        <x:v>375.2742787405809</x:v>
      </x:c>
      <x:c r="O14" s="53" t="n">
        <x:f>(MAX(MIN(E14-'Hypothèses'!$B$24,'Hypothèses'!$B$25-'Hypothèses'!$B$24),0)/1000*'Hypothèses'!$B$26+MAX(MIN(E14-'Hypothèses'!$B$25,'Hypothèses'!$B$27-'Hypothèses'!$B$25),0)/1000*'Hypothèses'!$B$28+MAX(E14-'Hypothèses'!$B$27,0)/1000*'Hypothèses'!$B$29)*'Hypothèses'!$B$30</x:f>
        <x:v>0</x:v>
      </x:c>
      <x:c r="P14" s="53" t="n">
        <x:f>IF(A14&gt;='Hypothèses'!$B$12,'Hypothèses'!$B$15,0)+L14*'Hypothèses'!$B$16</x:f>
        <x:v>25.57155310931738</x:v>
      </x:c>
      <x:c r="Q14" s="53" t="n">
        <x:f>MAX(N14*'Hypothèses'!$B$17,'Hypothèses'!$B$18)+'Acquisition'!$C$14</x:f>
        <x:v>300</x:v>
      </x:c>
      <x:c r="R14" s="53" t="n">
        <x:f>'Hypothèses'!$B$21</x:f>
        <x:v>150</x:v>
      </x:c>
      <x:c r="S14" s="53" t="n">
        <x:f>'Hypothèses'!$B$19</x:f>
        <x:v>200</x:v>
      </x:c>
      <x:c r="T14" s="53" t="n">
        <x:f>'Hypothèses'!$B$20</x:f>
        <x:v>100</x:v>
      </x:c>
      <x:c r="U14" s="53" t="n">
        <x:f>'Hypothèses'!$B$43</x:f>
        <x:v>0</x:v>
      </x:c>
      <x:c r="V14" s="53" t="n">
        <x:f>N14-SUM(O14:T14)-Z14</x:f>
        <x:v>-400.2972743687365</x:v>
      </x:c>
      <x:c r="W14" s="53" t="n">
        <x:f>SUM(O14:U14)+Z14</x:f>
        <x:v>775.5715531093174</x:v>
      </x:c>
      <x:c r="X14" s="53" t="n">
        <x:f>N14-W14</x:f>
        <x:v>-400.2972743687365</x:v>
      </x:c>
      <x:c r="Y14" s="53" t="n">
        <x:f>Y13+X14</x:f>
        <x:v>-5839.028254593735</x:v>
      </x:c>
      <x:c r="Z14" t="n">
        <x:f>IF(M14&gt;='Hypothèses'!$B$31*'Hypothèses'!$B$30,M14*'Hypothèses'!$B$32,0)</x:f>
        <x:v>0</x:v>
      </x:c>
    </x:row>
    <x:row r="15">
      <x:c r="A15" s="50" t="n">
        <x:v>12</x:v>
      </x:c>
      <x:c r="B15" s="51" t="n">
        <x:v>46722</x:v>
      </x:c>
      <x:c r="C15" s="113" t="n">
        <x:f>'Acquisition'!$F$15</x:f>
        <x:v>1710.3393581163143</x:v>
      </x:c>
      <x:c r="D15" s="52" t="n">
        <x:f>SUM($C$4:C15)</x:f>
        <x:v>15917.126520442589</x:v>
      </x:c>
      <x:c r="E15" s="52" t="n">
        <x:f>C4*'Cohortes MAU'!$D$15+C5*'Cohortes MAU'!$D$14+C6*'Cohortes MAU'!$D$13+C7*'Cohortes MAU'!$D$12+C8*'Cohortes MAU'!$D$11+C9*'Cohortes MAU'!$D$10+C10*'Cohortes MAU'!$D$9+C11*'Cohortes MAU'!$D$8+C12*'Cohortes MAU'!$D$7+C13*'Cohortes MAU'!$D$6+C14*'Cohortes MAU'!$D$5+C15*'Cohortes MAU'!$D$4</x:f>
        <x:v>3183.425304088518</x:v>
      </x:c>
      <x:c r="F15" s="52" t="n">
        <x:f>C13*'Hypothèses'!$B$39</x:f>
        <x:v>23.269923239677745</x:v>
      </x:c>
      <x:c r="G15" s="52" t="n">
        <x:f>SUM($F$4:F15)</x:f>
        <x:v>188.66838803323245</x:v>
      </x:c>
      <x:c r="H15" s="52" t="n">
        <x:f>C12*'Hypothèses'!$B$40</x:f>
        <x:v>2.9549108875781265</x:v>
      </x:c>
      <x:c r="I15" s="52" t="n">
        <x:f>G14*('Hypothèses'!$B$41/12)</x:f>
        <x:v>0.13783205399462892</x:v>
      </x:c>
      <x:c r="J15" s="52" t="n">
        <x:v>0</x:v>
      </x:c>
      <x:c r="K15" s="52" t="n">
        <x:v>0</x:v>
      </x:c>
      <x:c r="L15" s="52" t="n">
        <x:f>SUM(H4:K15)</x:f>
        <x:v>8.808274034746585</x:v>
      </x:c>
      <x:c r="M15" s="53" t="n">
        <x:f>F15*'Hypothèses'!$B$6+H15*'Hypothèses'!$B$7+I15*'Hypothèses'!$B$8+J15*'Hypothèses'!$B$7+K15*'Hypothèses'!$B$8</x:f>
        <x:v>556.5388058389786</x:v>
      </x:c>
      <x:c r="N15" s="53" t="n">
        <x:f>M15/(1+'Hypothèses'!$B$9)*(1-'Hypothèses'!$B$10)</x:f>
        <x:v>394.21498746927654</x:v>
      </x:c>
      <x:c r="O15" s="53" t="n">
        <x:f>(MAX(MIN(E15-'Hypothèses'!$B$24,'Hypothèses'!$B$25-'Hypothèses'!$B$24),0)/1000*'Hypothèses'!$B$26+MAX(MIN(E15-'Hypothèses'!$B$25,'Hypothèses'!$B$27-'Hypothèses'!$B$25),0)/1000*'Hypothèses'!$B$28+MAX(E15-'Hypothèses'!$B$27,0)/1000*'Hypothèses'!$B$29)*'Hypothèses'!$B$30</x:f>
        <x:v>0</x:v>
      </x:c>
      <x:c r="P15" s="53" t="n">
        <x:f>IF(A15&gt;='Hypothèses'!$B$12,'Hypothèses'!$B$15,0)+L15*'Hypothèses'!$B$16</x:f>
        <x:v>25.880827403474658</x:v>
      </x:c>
      <x:c r="Q15" s="53" t="n">
        <x:f>MAX(N15*'Hypothèses'!$B$17,'Hypothèses'!$B$18)+'Acquisition'!$C$15</x:f>
        <x:v>300</x:v>
      </x:c>
      <x:c r="R15" s="53" t="n">
        <x:f>'Hypothèses'!$B$21</x:f>
        <x:v>150</x:v>
      </x:c>
      <x:c r="S15" s="53" t="n">
        <x:f>'Hypothèses'!$B$19</x:f>
        <x:v>200</x:v>
      </x:c>
      <x:c r="T15" s="53" t="n">
        <x:f>'Hypothèses'!$B$20</x:f>
        <x:v>100</x:v>
      </x:c>
      <x:c r="U15" s="53" t="n">
        <x:f>'Hypothèses'!$B$43</x:f>
        <x:v>0</x:v>
      </x:c>
      <x:c r="V15" s="53" t="n">
        <x:f>N15-SUM(O15:T15)-Z15</x:f>
        <x:v>-381.6658399341981</x:v>
      </x:c>
      <x:c r="W15" s="53" t="n">
        <x:f>SUM(O15:U15)+Z15</x:f>
        <x:v>775.8808274034747</x:v>
      </x:c>
      <x:c r="X15" s="53" t="n">
        <x:f>N15-W15</x:f>
        <x:v>-381.6658399341981</x:v>
      </x:c>
      <x:c r="Y15" s="53" t="n">
        <x:f>Y14+X15</x:f>
        <x:v>-6220.694094527933</x:v>
      </x:c>
      <x:c r="Z15" t="n">
        <x:f>IF(M15&gt;='Hypothèses'!$B$31*'Hypothèses'!$B$30,M15*'Hypothèses'!$B$32,0)</x:f>
        <x:v>0</x:v>
      </x:c>
    </x:row>
    <x:row r="16">
      <x:c r="A16" s="50" t="n">
        <x:v>13</x:v>
      </x:c>
      <x:c r="B16" s="51" t="n">
        <x:v>46753</x:v>
      </x:c>
      <x:c r="C16" s="113" t="n">
        <x:f>'Acquisition'!$F$16</x:f>
        <x:v>1778.752932440967</x:v>
      </x:c>
      <x:c r="D16" s="52" t="n">
        <x:f>SUM($C$4:C16)</x:f>
        <x:v>17695.879452883557</x:v>
      </x:c>
      <x:c r="E16" s="52" t="n">
        <x:f>C4*'Cohortes MAU'!$D$16+C5*'Cohortes MAU'!$D$15+C6*'Cohortes MAU'!$D$14+C7*'Cohortes MAU'!$D$13+C8*'Cohortes MAU'!$D$12+C9*'Cohortes MAU'!$D$11+C10*'Cohortes MAU'!$D$10+C11*'Cohortes MAU'!$D$9+C12*'Cohortes MAU'!$D$8+C13*'Cohortes MAU'!$D$7+C14*'Cohortes MAU'!$D$6+C15*'Cohortes MAU'!$D$5+C16*'Cohortes MAU'!$D$4</x:f>
        <x:v>3539.175890576711</x:v>
      </x:c>
      <x:c r="F16" s="52" t="n">
        <x:f>C14*'Hypothèses'!$B$39</x:f>
        <x:v>24.43341940166163</x:v>
      </x:c>
      <x:c r="G16" s="52" t="n">
        <x:f>SUM($F$4:F16)</x:f>
        <x:v>213.10180743489408</x:v>
      </x:c>
      <x:c r="H16" s="52" t="n">
        <x:f>C13*'Hypothèses'!$B$40</x:f>
        <x:v>3.1026564319570324</x:v>
      </x:c>
      <x:c r="I16" s="52" t="n">
        <x:f>G15*('Hypothèses'!$B$41/12)</x:f>
        <x:v>0.1572236566943604</x:v>
      </x:c>
      <x:c r="J16" s="52" t="n">
        <x:f>(H4+J4)*'Hypothèses'!$B$42</x:f>
        <x:v>0</x:v>
      </x:c>
      <x:c r="K16" s="52" t="n">
        <x:f>(I4+K4)*'Hypothèses'!$B$42</x:f>
        <x:v>0</x:v>
      </x:c>
      <x:c r="L16" s="52" t="n">
        <x:f>SUM(H5:K16)</x:f>
        <x:v>12.06815412339798</x:v>
      </x:c>
      <x:c r="M16" s="53" t="n">
        <x:f>F16*'Hypothèses'!$B$6+H16*'Hypothèses'!$B$7+I16*'Hypothèses'!$B$8+J16*'Hypothèses'!$B$7+K16*'Hypothèses'!$B$8</x:f>
        <x:v>584.6156211309276</x:v>
      </x:c>
      <x:c r="N16" s="53" t="n">
        <x:f>M16/(1+'Hypothèses'!$B$9)*(1-'Hypothèses'!$B$10)</x:f>
        <x:v>414.10273163440706</x:v>
      </x:c>
      <x:c r="O16" s="53" t="n">
        <x:f>(MAX(MIN(E16-'Hypothèses'!$B$24,'Hypothèses'!$B$25-'Hypothèses'!$B$24),0)/1000*'Hypothèses'!$B$26+MAX(MIN(E16-'Hypothèses'!$B$25,'Hypothèses'!$B$27-'Hypothèses'!$B$25),0)/1000*'Hypothèses'!$B$28+MAX(E16-'Hypothèses'!$B$27,0)/1000*'Hypothèses'!$B$29)*'Hypothèses'!$B$30</x:f>
        <x:v>0</x:v>
      </x:c>
      <x:c r="P16" s="53" t="n">
        <x:f>IF(A16&gt;='Hypothèses'!$B$12,'Hypothèses'!$B$15,0)+L16*'Hypothèses'!$B$16</x:f>
        <x:v>26.206815412339797</x:v>
      </x:c>
      <x:c r="Q16" s="53" t="n">
        <x:f>MAX(N16*'Hypothèses'!$B$17,'Hypothèses'!$B$18)+'Acquisition'!$C$16</x:f>
        <x:v>300</x:v>
      </x:c>
      <x:c r="R16" s="53" t="n">
        <x:f>'Hypothèses'!$B$22</x:f>
        <x:v>250</x:v>
      </x:c>
      <x:c r="S16" s="53" t="n">
        <x:f>'Hypothèses'!$B$19</x:f>
        <x:v>200</x:v>
      </x:c>
      <x:c r="T16" s="53" t="n">
        <x:f>'Hypothèses'!$B$20</x:f>
        <x:v>100</x:v>
      </x:c>
      <x:c r="U16" s="53" t="n">
        <x:f>'Hypothèses'!$B$44</x:f>
        <x:v>1000</x:v>
      </x:c>
      <x:c r="V16" s="53" t="n">
        <x:f>N16-SUM(O16:T16)-Z16</x:f>
        <x:v>-462.1040837779327</x:v>
      </x:c>
      <x:c r="W16" s="53" t="n">
        <x:f>SUM(O16:U16)+Z16</x:f>
        <x:v>1876.20681541234</x:v>
      </x:c>
      <x:c r="X16" s="53" t="n">
        <x:f>N16-W16</x:f>
        <x:v>-1462.1040837779328</x:v>
      </x:c>
      <x:c r="Y16" s="53" t="n">
        <x:f>Y15+X16</x:f>
        <x:v>-7682.798178305866</x:v>
      </x:c>
      <x:c r="Z16" t="n">
        <x:f>IF(M16&gt;='Hypothèses'!$B$31*'Hypothèses'!$B$30,M16*'Hypothèses'!$B$32,0)</x:f>
        <x:v>0</x:v>
      </x:c>
    </x:row>
    <x:row r="17">
      <x:c r="A17" s="50" t="n">
        <x:v>14</x:v>
      </x:c>
      <x:c r="B17" s="51" t="n">
        <x:v>46784</x:v>
      </x:c>
      <x:c r="C17" s="113" t="n">
        <x:f>'Acquisition'!$F$17</x:f>
        <x:v>1849.9030497386057</x:v>
      </x:c>
      <x:c r="D17" s="52" t="n">
        <x:f>SUM($C$4:C17)</x:f>
        <x:v>19545.78250262216</x:v>
      </x:c>
      <x:c r="E17" s="52" t="n">
        <x:f>C4*'Cohortes MAU'!$D$17+C5*'Cohortes MAU'!$D$16+C6*'Cohortes MAU'!$D$15+C7*'Cohortes MAU'!$D$14+C8*'Cohortes MAU'!$D$13+C9*'Cohortes MAU'!$D$12+C10*'Cohortes MAU'!$D$11+C11*'Cohortes MAU'!$D$10+C12*'Cohortes MAU'!$D$9+C13*'Cohortes MAU'!$D$8+C14*'Cohortes MAU'!$D$7+C15*'Cohortes MAU'!$D$6+C16*'Cohortes MAU'!$D$5+C17*'Cohortes MAU'!$D$4</x:f>
        <x:v>3909.156500524432</x:v>
      </x:c>
      <x:c r="F17" s="52" t="n">
        <x:f>C15*'Hypothèses'!$B$39</x:f>
        <x:v>25.655090371744713</x:v>
      </x:c>
      <x:c r="G17" s="52" t="n">
        <x:f>SUM($F$4:F17)</x:f>
        <x:v>238.7568978066388</x:v>
      </x:c>
      <x:c r="H17" s="52" t="n">
        <x:f>C14*'Hypothèses'!$B$40</x:f>
        <x:v>3.2577892535548845</x:v>
      </x:c>
      <x:c r="I17" s="52" t="n">
        <x:f>G16*('Hypothèses'!$B$41/12)</x:f>
        <x:v>0.17758483952907841</x:v>
      </x:c>
      <x:c r="J17" s="52" t="n">
        <x:f>(H5+J5)*'Hypothèses'!$B$42</x:f>
        <x:v>0</x:v>
      </x:c>
      <x:c r="K17" s="52" t="n">
        <x:f>(I5+K5)*'Hypothèses'!$B$42</x:f>
        <x:v>0</x:v>
      </x:c>
      <x:c r="L17" s="52" t="n">
        <x:f>SUM(H6:K17)</x:f>
        <x:v>15.503528216481943</x:v>
      </x:c>
      <x:c r="M17" s="53" t="n">
        <x:f>F17*'Hypothèses'!$B$6+H17*'Hypothèses'!$B$7+I17*'Hypothèses'!$B$8+J17*'Hypothèses'!$B$7+K17*'Hypothèses'!$B$8</x:f>
        <x:v>614.0962771874741</x:v>
      </x:c>
      <x:c r="N17" s="53" t="n">
        <x:f>M17/(1+'Hypothèses'!$B$9)*(1-'Hypothèses'!$B$10)</x:f>
        <x:v>434.98486300779416</x:v>
      </x:c>
      <x:c r="O17" s="53" t="n">
        <x:f>(MAX(MIN(E17-'Hypothèses'!$B$24,'Hypothèses'!$B$25-'Hypothèses'!$B$24),0)/1000*'Hypothèses'!$B$26+MAX(MIN(E17-'Hypothèses'!$B$25,'Hypothèses'!$B$27-'Hypothèses'!$B$25),0)/1000*'Hypothèses'!$B$28+MAX(E17-'Hypothèses'!$B$27,0)/1000*'Hypothèses'!$B$29)*'Hypothèses'!$B$30</x:f>
        <x:v>0</x:v>
      </x:c>
      <x:c r="P17" s="53" t="n">
        <x:f>IF(A17&gt;='Hypothèses'!$B$12,'Hypothèses'!$B$15,0)+L17*'Hypothèses'!$B$16</x:f>
        <x:v>26.550352821648193</x:v>
      </x:c>
      <x:c r="Q17" s="53" t="n">
        <x:f>MAX(N17*'Hypothèses'!$B$17,'Hypothèses'!$B$18)+'Acquisition'!$C$17</x:f>
        <x:v>300</x:v>
      </x:c>
      <x:c r="R17" s="53" t="n">
        <x:f>'Hypothèses'!$B$22</x:f>
        <x:v>250</x:v>
      </x:c>
      <x:c r="S17" s="53" t="n">
        <x:f>'Hypothèses'!$B$19</x:f>
        <x:v>200</x:v>
      </x:c>
      <x:c r="T17" s="53" t="n">
        <x:f>'Hypothèses'!$B$20</x:f>
        <x:v>100</x:v>
      </x:c>
      <x:c r="U17" s="53" t="n">
        <x:f>'Hypothèses'!$B$44</x:f>
        <x:v>1000</x:v>
      </x:c>
      <x:c r="V17" s="53" t="n">
        <x:f>N17-SUM(O17:T17)-Z17</x:f>
        <x:v>-441.565489813854</x:v>
      </x:c>
      <x:c r="W17" s="53" t="n">
        <x:f>SUM(O17:U17)+Z17</x:f>
        <x:v>1876.5503528216482</x:v>
      </x:c>
      <x:c r="X17" s="53" t="n">
        <x:f>N17-W17</x:f>
        <x:v>-1441.5654898138541</x:v>
      </x:c>
      <x:c r="Y17" s="53" t="n">
        <x:f>Y16+X17</x:f>
        <x:v>-9124.36366811972</x:v>
      </x:c>
      <x:c r="Z17" t="n">
        <x:f>IF(M17&gt;='Hypothèses'!$B$31*'Hypothèses'!$B$30,M17*'Hypothèses'!$B$32,0)</x:f>
        <x:v>0</x:v>
      </x:c>
    </x:row>
    <x:row r="18">
      <x:c r="A18" s="50" t="n">
        <x:v>15</x:v>
      </x:c>
      <x:c r="B18" s="51" t="n">
        <x:v>46813</x:v>
      </x:c>
      <x:c r="C18" s="113" t="n">
        <x:f>'Acquisition'!$F$18</x:f>
        <x:v>1923.89917172815</x:v>
      </x:c>
      <x:c r="D18" s="52" t="n">
        <x:f>SUM($C$4:C18)</x:f>
        <x:v>21469.68167435031</x:v>
      </x:c>
      <x:c r="E18" s="52" t="n">
        <x:f>C4*'Cohortes MAU'!$D$18+C5*'Cohortes MAU'!$D$17+C6*'Cohortes MAU'!$D$16+C7*'Cohortes MAU'!$D$15+C8*'Cohortes MAU'!$D$14+C9*'Cohortes MAU'!$D$13+C10*'Cohortes MAU'!$D$12+C11*'Cohortes MAU'!$D$11+C12*'Cohortes MAU'!$D$10+C13*'Cohortes MAU'!$D$9+C14*'Cohortes MAU'!$D$8+C15*'Cohortes MAU'!$D$7+C16*'Cohortes MAU'!$D$6+C17*'Cohortes MAU'!$D$5+C18*'Cohortes MAU'!$D$4</x:f>
        <x:v>4293.936334870062</x:v>
      </x:c>
      <x:c r="F18" s="52" t="n">
        <x:f>C16*'Hypothèses'!$B$39</x:f>
        <x:v>26.681293986614506</x:v>
      </x:c>
      <x:c r="G18" s="52" t="n">
        <x:f>SUM($F$4:F18)</x:f>
        <x:v>265.4381917932533</x:v>
      </x:c>
      <x:c r="H18" s="52" t="n">
        <x:f>C15*'Hypothèses'!$B$40</x:f>
        <x:v>3.420678716232629</x:v>
      </x:c>
      <x:c r="I18" s="52" t="n">
        <x:f>G17*('Hypothèses'!$B$41/12)</x:f>
        <x:v>0.19896408150553233</x:v>
      </x:c>
      <x:c r="J18" s="52" t="n">
        <x:f>(H6+J6)*'Hypothèses'!$B$42</x:f>
        <x:v>0</x:v>
      </x:c>
      <x:c r="K18" s="52" t="n">
        <x:f>(I6+K6)*'Hypothèses'!$B$42</x:f>
        <x:v>0</x:v>
      </x:c>
      <x:c r="L18" s="52" t="n">
        <x:f>SUM(H7:K18)</x:f>
        <x:v>19.123171014220105</x:v>
      </x:c>
      <x:c r="M18" s="53" t="n">
        <x:f>F18*'Hypothèses'!$B$6+H18*'Hypothèses'!$B$7+I18*'Hypothèses'!$B$8+J18*'Hypothèses'!$B$7+K18*'Hypothèses'!$B$8</x:f>
        <x:v>639.9225134815362</x:v>
      </x:c>
      <x:c r="N18" s="53" t="n">
        <x:f>M18/(1+'Hypothèses'!$B$9)*(1-'Hypothèses'!$B$10)</x:f>
        <x:v>453.27844704942146</x:v>
      </x:c>
      <x:c r="O18" s="53" t="n">
        <x:f>(MAX(MIN(E18-'Hypothèses'!$B$24,'Hypothèses'!$B$25-'Hypothèses'!$B$24),0)/1000*'Hypothèses'!$B$26+MAX(MIN(E18-'Hypothèses'!$B$25,'Hypothèses'!$B$27-'Hypothèses'!$B$25),0)/1000*'Hypothèses'!$B$28+MAX(E18-'Hypothèses'!$B$27,0)/1000*'Hypothèses'!$B$29)*'Hypothèses'!$B$30</x:f>
        <x:v>0</x:v>
      </x:c>
      <x:c r="P18" s="53" t="n">
        <x:f>IF(A18&gt;='Hypothèses'!$B$12,'Hypothèses'!$B$15,0)+L18*'Hypothèses'!$B$16</x:f>
        <x:v>26.912317101422012</x:v>
      </x:c>
      <x:c r="Q18" s="53" t="n">
        <x:f>MAX(N18*'Hypothèses'!$B$17,'Hypothèses'!$B$18)+'Acquisition'!$C$18</x:f>
        <x:v>300</x:v>
      </x:c>
      <x:c r="R18" s="53" t="n">
        <x:f>'Hypothèses'!$B$22</x:f>
        <x:v>250</x:v>
      </x:c>
      <x:c r="S18" s="53" t="n">
        <x:f>'Hypothèses'!$B$19</x:f>
        <x:v>200</x:v>
      </x:c>
      <x:c r="T18" s="53" t="n">
        <x:f>'Hypothèses'!$B$20</x:f>
        <x:v>100</x:v>
      </x:c>
      <x:c r="U18" s="53" t="n">
        <x:f>'Hypothèses'!$B$44</x:f>
        <x:v>1000</x:v>
      </x:c>
      <x:c r="V18" s="53" t="n">
        <x:f>N18-SUM(O18:T18)-Z18</x:f>
        <x:v>-423.63387005200053</x:v>
      </x:c>
      <x:c r="W18" s="53" t="n">
        <x:f>SUM(O18:U18)+Z18</x:f>
        <x:v>1876.912317101422</x:v>
      </x:c>
      <x:c r="X18" s="53" t="n">
        <x:f>N18-W18</x:f>
        <x:v>-1423.6338700520007</x:v>
      </x:c>
      <x:c r="Y18" s="53" t="n">
        <x:f>Y17+X18</x:f>
        <x:v>-10547.997538171721</x:v>
      </x:c>
      <x:c r="Z18" t="n">
        <x:f>IF(M18&gt;='Hypothèses'!$B$31*'Hypothèses'!$B$30,M18*'Hypothèses'!$B$32,0)</x:f>
        <x:v>0</x:v>
      </x:c>
    </x:row>
    <x:row r="19">
      <x:c r="A19" s="50" t="n">
        <x:v>16</x:v>
      </x:c>
      <x:c r="B19" s="51" t="n">
        <x:v>46844</x:v>
      </x:c>
      <x:c r="C19" s="113" t="n">
        <x:f>'Acquisition'!$F$19</x:f>
        <x:v>2000.855138597276</x:v>
      </x:c>
      <x:c r="D19" s="52" t="n">
        <x:f>SUM($C$4:C19)</x:f>
        <x:v>23470.536812947586</x:v>
      </x:c>
      <x:c r="E19" s="52" t="n">
        <x:f>C4*'Cohortes MAU'!$D$19+C5*'Cohortes MAU'!$D$18+C6*'Cohortes MAU'!$D$17+C7*'Cohortes MAU'!$D$16+C8*'Cohortes MAU'!$D$15+C9*'Cohortes MAU'!$D$14+C10*'Cohortes MAU'!$D$13+C11*'Cohortes MAU'!$D$12+C12*'Cohortes MAU'!$D$11+C13*'Cohortes MAU'!$D$10+C14*'Cohortes MAU'!$D$9+C15*'Cohortes MAU'!$D$8+C16*'Cohortes MAU'!$D$7+C17*'Cohortes MAU'!$D$6+C18*'Cohortes MAU'!$D$5+C19*'Cohortes MAU'!$D$4</x:f>
        <x:v>4694.107362589517</x:v>
      </x:c>
      <x:c r="F19" s="52" t="n">
        <x:f>C17*'Hypothèses'!$B$39</x:f>
        <x:v>27.748545746079085</x:v>
      </x:c>
      <x:c r="G19" s="52" t="n">
        <x:f>SUM($F$4:F19)</x:f>
        <x:v>293.18673753933234</x:v>
      </x:c>
      <x:c r="H19" s="52" t="n">
        <x:f>C16*'Hypothèses'!$B$40</x:f>
        <x:v>3.557505864881934</x:v>
      </x:c>
      <x:c r="I19" s="52" t="n">
        <x:f>G18*('Hypothèses'!$B$41/12)</x:f>
        <x:v>0.22119849316104442</x:v>
      </x:c>
      <x:c r="J19" s="52" t="n">
        <x:f>(H7+J7)*'Hypothèses'!$B$42</x:f>
        <x:v>0</x:v>
      </x:c>
      <x:c r="K19" s="52" t="n">
        <x:f>(I7+K7)*'Hypothèses'!$B$42</x:f>
        <x:v>0</x:v>
      </x:c>
      <x:c r="L19" s="52" t="n">
        <x:f>SUM(H8:K19)</x:f>
        <x:v>22.90187537226308</x:v>
      </x:c>
      <x:c r="M19" s="53" t="n">
        <x:f>F19*'Hypothèses'!$B$6+H19*'Hypothèses'!$B$7+I19*'Hypothèses'!$B$8+J19*'Hypothèses'!$B$7+K19*'Hypothèses'!$B$8</x:f>
        <x:v>665.8047882302194</x:v>
      </x:c>
      <x:c r="N19" s="53" t="n">
        <x:f>M19/(1+'Hypothèses'!$B$9)*(1-'Hypothèses'!$B$10)</x:f>
        <x:v>471.6117249964055</x:v>
      </x:c>
      <x:c r="O19" s="53" t="n">
        <x:f>(MAX(MIN(E19-'Hypothèses'!$B$24,'Hypothèses'!$B$25-'Hypothèses'!$B$24),0)/1000*'Hypothèses'!$B$26+MAX(MIN(E19-'Hypothèses'!$B$25,'Hypothèses'!$B$27-'Hypothèses'!$B$25),0)/1000*'Hypothèses'!$B$28+MAX(E19-'Hypothèses'!$B$27,0)/1000*'Hypothèses'!$B$29)*'Hypothèses'!$B$30</x:f>
        <x:v>0</x:v>
      </x:c>
      <x:c r="P19" s="53" t="n">
        <x:f>IF(A19&gt;='Hypothèses'!$B$12,'Hypothèses'!$B$15,0)+L19*'Hypothèses'!$B$16</x:f>
        <x:v>27.29018753722631</x:v>
      </x:c>
      <x:c r="Q19" s="53" t="n">
        <x:f>MAX(N19*'Hypothèses'!$B$17,'Hypothèses'!$B$18)+'Acquisition'!$C$19</x:f>
        <x:v>300</x:v>
      </x:c>
      <x:c r="R19" s="53" t="n">
        <x:f>'Hypothèses'!$B$22</x:f>
        <x:v>250</x:v>
      </x:c>
      <x:c r="S19" s="53" t="n">
        <x:f>'Hypothèses'!$B$19</x:f>
        <x:v>200</x:v>
      </x:c>
      <x:c r="T19" s="53" t="n">
        <x:f>'Hypothèses'!$B$20</x:f>
        <x:v>100</x:v>
      </x:c>
      <x:c r="U19" s="53" t="n">
        <x:f>'Hypothèses'!$B$44</x:f>
        <x:v>1000</x:v>
      </x:c>
      <x:c r="V19" s="53" t="n">
        <x:f>N19-SUM(O19:T19)-Z19</x:f>
        <x:v>-405.6784625408208</x:v>
      </x:c>
      <x:c r="W19" s="53" t="n">
        <x:f>SUM(O19:U19)+Z19</x:f>
        <x:v>1877.2901875372263</x:v>
      </x:c>
      <x:c r="X19" s="53" t="n">
        <x:f>N19-W19</x:f>
        <x:v>-1405.6784625408209</x:v>
      </x:c>
      <x:c r="Y19" s="53" t="n">
        <x:f>Y18+X19</x:f>
        <x:v>-11953.676000712541</x:v>
      </x:c>
      <x:c r="Z19" t="n">
        <x:f>IF(M19&gt;='Hypothèses'!$B$31*'Hypothèses'!$B$30,M19*'Hypothèses'!$B$32,0)</x:f>
        <x:v>0</x:v>
      </x:c>
    </x:row>
    <x:row r="20">
      <x:c r="A20" s="50" t="n">
        <x:v>17</x:v>
      </x:c>
      <x:c r="B20" s="51" t="n">
        <x:v>46874</x:v>
      </x:c>
      <x:c r="C20" s="113" t="n">
        <x:f>'Acquisition'!$F$20</x:f>
        <x:v>2080.889344141167</x:v>
      </x:c>
      <x:c r="D20" s="52" t="n">
        <x:f>SUM($C$4:C20)</x:f>
        <x:v>25551.426157088754</x:v>
      </x:c>
      <x:c r="E20" s="52" t="n">
        <x:f>C4*'Cohortes MAU'!$D$20+C5*'Cohortes MAU'!$D$19+C6*'Cohortes MAU'!$D$18+C7*'Cohortes MAU'!$D$17+C8*'Cohortes MAU'!$D$16+C9*'Cohortes MAU'!$D$15+C10*'Cohortes MAU'!$D$14+C11*'Cohortes MAU'!$D$13+C12*'Cohortes MAU'!$D$12+C13*'Cohortes MAU'!$D$11+C14*'Cohortes MAU'!$D$10+C15*'Cohortes MAU'!$D$9+C16*'Cohortes MAU'!$D$8+C17*'Cohortes MAU'!$D$7+C18*'Cohortes MAU'!$D$6+C19*'Cohortes MAU'!$D$5+C20*'Cohortes MAU'!$D$4</x:f>
        <x:v>5110.285231417751</x:v>
      </x:c>
      <x:c r="F20" s="52" t="n">
        <x:f>C18*'Hypothèses'!$B$39</x:f>
        <x:v>28.858487575922247</x:v>
      </x:c>
      <x:c r="G20" s="52" t="n">
        <x:f>SUM($F$4:F20)</x:f>
        <x:v>322.0452251152546</x:v>
      </x:c>
      <x:c r="H20" s="52" t="n">
        <x:f>C17*'Hypothèses'!$B$40</x:f>
        <x:v>3.6998060994772115</x:v>
      </x:c>
      <x:c r="I20" s="52" t="n">
        <x:f>G19*('Hypothèses'!$B$41/12)</x:f>
        <x:v>0.24432228128277697</x:v>
      </x:c>
      <x:c r="J20" s="52" t="n">
        <x:f>(H8+J8)*'Hypothèses'!$B$42</x:f>
        <x:v>0</x:v>
      </x:c>
      <x:c r="K20" s="52" t="n">
        <x:f>(I8+K8)*'Hypothèses'!$B$42</x:f>
        <x:v>0</x:v>
      </x:c>
      <x:c r="L20" s="52" t="n">
        <x:f>SUM(H9:K20)</x:f>
        <x:v>26.84600375302307</x:v>
      </x:c>
      <x:c r="M20" s="53" t="n">
        <x:f>F20*'Hypothèses'!$B$6+H20*'Hypothèses'!$B$7+I20*'Hypothèses'!$B$8+J20*'Hypothèses'!$B$7+K20*'Hypothèses'!$B$8</x:f>
        <x:v>692.72235396885</x:v>
      </x:c>
      <x:c r="N20" s="53" t="n">
        <x:f>M20/(1+'Hypothèses'!$B$9)*(1-'Hypothèses'!$B$10)</x:f>
        <x:v>490.67833406126874</x:v>
      </x:c>
      <x:c r="O20" s="53" t="n">
        <x:f>(MAX(MIN(E20-'Hypothèses'!$B$24,'Hypothèses'!$B$25-'Hypothèses'!$B$24),0)/1000*'Hypothèses'!$B$26+MAX(MIN(E20-'Hypothèses'!$B$25,'Hypothèses'!$B$27-'Hypothèses'!$B$25),0)/1000*'Hypothèses'!$B$28+MAX(E20-'Hypothèses'!$B$27,0)/1000*'Hypothèses'!$B$29)*'Hypothèses'!$B$30</x:f>
        <x:v>0</x:v>
      </x:c>
      <x:c r="P20" s="53" t="n">
        <x:f>IF(A20&gt;='Hypothèses'!$B$12,'Hypothèses'!$B$15,0)+L20*'Hypothèses'!$B$16</x:f>
        <x:v>27.684600375302306</x:v>
      </x:c>
      <x:c r="Q20" s="53" t="n">
        <x:f>MAX(N20*'Hypothèses'!$B$17,'Hypothèses'!$B$18)+'Acquisition'!$C$20</x:f>
        <x:v>300</x:v>
      </x:c>
      <x:c r="R20" s="53" t="n">
        <x:f>'Hypothèses'!$B$22</x:f>
        <x:v>250</x:v>
      </x:c>
      <x:c r="S20" s="53" t="n">
        <x:f>'Hypothèses'!$B$19</x:f>
        <x:v>200</x:v>
      </x:c>
      <x:c r="T20" s="53" t="n">
        <x:f>'Hypothèses'!$B$20</x:f>
        <x:v>100</x:v>
      </x:c>
      <x:c r="U20" s="53" t="n">
        <x:f>'Hypothèses'!$B$44</x:f>
        <x:v>1000</x:v>
      </x:c>
      <x:c r="V20" s="53" t="n">
        <x:f>N20-SUM(O20:T20)-Z20</x:f>
        <x:v>-387.0062663140336</x:v>
      </x:c>
      <x:c r="W20" s="53" t="n">
        <x:f>SUM(O20:U20)+Z20</x:f>
        <x:v>1877.6846003753024</x:v>
      </x:c>
      <x:c r="X20" s="53" t="n">
        <x:f>N20-W20</x:f>
        <x:v>-1387.0062663140336</x:v>
      </x:c>
      <x:c r="Y20" s="53" t="n">
        <x:f>Y19+X20</x:f>
        <x:v>-13340.682267026576</x:v>
      </x:c>
      <x:c r="Z20" t="n">
        <x:f>IF(M20&gt;='Hypothèses'!$B$31*'Hypothèses'!$B$30,M20*'Hypothèses'!$B$32,0)</x:f>
        <x:v>0</x:v>
      </x:c>
    </x:row>
    <x:row r="21">
      <x:c r="A21" s="50" t="n">
        <x:v>18</x:v>
      </x:c>
      <x:c r="B21" s="51" t="n">
        <x:v>46905</x:v>
      </x:c>
      <x:c r="C21" s="113" t="n">
        <x:f>'Acquisition'!$F$21</x:f>
        <x:v>2164.1249179068136</x:v>
      </x:c>
      <x:c r="D21" s="52" t="n">
        <x:f>SUM($C$4:C21)</x:f>
        <x:v>27715.55107499557</x:v>
      </x:c>
      <x:c r="E21" s="52" t="n">
        <x:f>C4*'Cohortes MAU'!$D$21+C5*'Cohortes MAU'!$D$20+C6*'Cohortes MAU'!$D$19+C7*'Cohortes MAU'!$D$18+C8*'Cohortes MAU'!$D$17+C9*'Cohortes MAU'!$D$16+C10*'Cohortes MAU'!$D$15+C11*'Cohortes MAU'!$D$14+C12*'Cohortes MAU'!$D$13+C13*'Cohortes MAU'!$D$12+C14*'Cohortes MAU'!$D$11+C15*'Cohortes MAU'!$D$10+C16*'Cohortes MAU'!$D$9+C17*'Cohortes MAU'!$D$8+C18*'Cohortes MAU'!$D$7+C19*'Cohortes MAU'!$D$6+C20*'Cohortes MAU'!$D$5+C21*'Cohortes MAU'!$D$4</x:f>
        <x:v>5543.110214999114</x:v>
      </x:c>
      <x:c r="F21" s="52" t="n">
        <x:f>C19*'Hypothèses'!$B$39</x:f>
        <x:v>30.012827078959138</x:v>
      </x:c>
      <x:c r="G21" s="52" t="n">
        <x:f>SUM($F$4:F21)</x:f>
        <x:v>352.05805219421376</x:v>
      </x:c>
      <x:c r="H21" s="52" t="n">
        <x:f>C18*'Hypothèses'!$B$40</x:f>
        <x:v>3.8477983434563</x:v>
      </x:c>
      <x:c r="I21" s="52" t="n">
        <x:f>G20*('Hypothèses'!$B$41/12)</x:f>
        <x:v>0.26837102092937887</x:v>
      </x:c>
      <x:c r="J21" s="52" t="n">
        <x:f>(H9+J9)*'Hypothèses'!$B$42</x:f>
        <x:v>0</x:v>
      </x:c>
      <x:c r="K21" s="52" t="n">
        <x:f>(I9+K9)*'Hypothèses'!$B$42</x:f>
        <x:v>0</x:v>
      </x:c>
      <x:c r="L21" s="52" t="n">
        <x:f>SUM(H10:K21)</x:f>
        <x:v>30.96217311740875</x:v>
      </x:c>
      <x:c r="M21" s="53" t="n">
        <x:f>F21*'Hypothèses'!$B$6+H21*'Hypothèses'!$B$7+I21*'Hypothèses'!$B$8+J21*'Hypothèses'!$B$7+K21*'Hypothèses'!$B$8</x:f>
        <x:v>720.7166223370258</x:v>
      </x:c>
      <x:c r="N21" s="53" t="n">
        <x:f>M21/(1+'Hypothèses'!$B$9)*(1-'Hypothèses'!$B$10)</x:f>
        <x:v>510.50760748872665</x:v>
      </x:c>
      <x:c r="O21" s="53" t="n">
        <x:f>(MAX(MIN(E21-'Hypothèses'!$B$24,'Hypothèses'!$B$25-'Hypothèses'!$B$24),0)/1000*'Hypothèses'!$B$26+MAX(MIN(E21-'Hypothèses'!$B$25,'Hypothèses'!$B$27-'Hypothèses'!$B$25),0)/1000*'Hypothèses'!$B$28+MAX(E21-'Hypothèses'!$B$27,0)/1000*'Hypothèses'!$B$29)*'Hypothèses'!$B$30</x:f>
        <x:v>0</x:v>
      </x:c>
      <x:c r="P21" s="53" t="n">
        <x:f>IF(A21&gt;='Hypothèses'!$B$12,'Hypothèses'!$B$15,0)+L21*'Hypothèses'!$B$16</x:f>
        <x:v>28.096217311740876</x:v>
      </x:c>
      <x:c r="Q21" s="53" t="n">
        <x:f>MAX(N21*'Hypothèses'!$B$17,'Hypothèses'!$B$18)+'Acquisition'!$C$21</x:f>
        <x:v>300</x:v>
      </x:c>
      <x:c r="R21" s="53" t="n">
        <x:f>'Hypothèses'!$B$22</x:f>
        <x:v>250</x:v>
      </x:c>
      <x:c r="S21" s="53" t="n">
        <x:f>'Hypothèses'!$B$19</x:f>
        <x:v>200</x:v>
      </x:c>
      <x:c r="T21" s="53" t="n">
        <x:f>'Hypothèses'!$B$20</x:f>
        <x:v>100</x:v>
      </x:c>
      <x:c r="U21" s="53" t="n">
        <x:f>'Hypothèses'!$B$44</x:f>
        <x:v>1000</x:v>
      </x:c>
      <x:c r="V21" s="53" t="n">
        <x:f>N21-SUM(O21:T21)-Z21</x:f>
        <x:v>-367.5886098230143</x:v>
      </x:c>
      <x:c r="W21" s="53" t="n">
        <x:f>SUM(O21:U21)+Z21</x:f>
        <x:v>1878.096217311741</x:v>
      </x:c>
      <x:c r="X21" s="53" t="n">
        <x:f>N21-W21</x:f>
        <x:v>-1367.5886098230144</x:v>
      </x:c>
      <x:c r="Y21" s="53" t="n">
        <x:f>Y20+X21</x:f>
        <x:v>-14708.27087684959</x:v>
      </x:c>
      <x:c r="Z21" t="n">
        <x:f>IF(M21&gt;='Hypothèses'!$B$31*'Hypothèses'!$B$30,M21*'Hypothèses'!$B$32,0)</x:f>
        <x:v>0</x:v>
      </x:c>
    </x:row>
    <x:row r="22">
      <x:c r="A22" s="50" t="n">
        <x:v>19</x:v>
      </x:c>
      <x:c r="B22" s="51" t="n">
        <x:v>46935</x:v>
      </x:c>
      <x:c r="C22" s="113" t="n">
        <x:f>'Acquisition'!$F$22</x:f>
        <x:v>2250.689914623086</x:v>
      </x:c>
      <x:c r="D22" s="52" t="n">
        <x:f>SUM($C$4:C22)</x:f>
        <x:v>29966.240989618655</x:v>
      </x:c>
      <x:c r="E22" s="52" t="n">
        <x:f>C4*'Cohortes MAU'!$D$22+C5*'Cohortes MAU'!$D$21+C6*'Cohortes MAU'!$D$20+C7*'Cohortes MAU'!$D$19+C8*'Cohortes MAU'!$D$18+C9*'Cohortes MAU'!$D$17+C10*'Cohortes MAU'!$D$16+C11*'Cohortes MAU'!$D$15+C12*'Cohortes MAU'!$D$14+C13*'Cohortes MAU'!$D$13+C14*'Cohortes MAU'!$D$12+C15*'Cohortes MAU'!$D$11+C16*'Cohortes MAU'!$D$10+C17*'Cohortes MAU'!$D$9+C18*'Cohortes MAU'!$D$8+C19*'Cohortes MAU'!$D$7+C20*'Cohortes MAU'!$D$6+C21*'Cohortes MAU'!$D$5+C22*'Cohortes MAU'!$D$4</x:f>
        <x:v>5993.248197923731</x:v>
      </x:c>
      <x:c r="F22" s="52" t="n">
        <x:f>C20*'Hypothèses'!$B$39</x:f>
        <x:v>31.213340162117504</x:v>
      </x:c>
      <x:c r="G22" s="52" t="n">
        <x:f>SUM($F$4:F22)</x:f>
        <x:v>383.27139235633126</x:v>
      </x:c>
      <x:c r="H22" s="52" t="n">
        <x:f>C19*'Hypothèses'!$B$40</x:f>
        <x:v>4.001710277194552</x:v>
      </x:c>
      <x:c r="I22" s="52" t="n">
        <x:f>G21*('Hypothèses'!$B$41/12)</x:f>
        <x:v>0.29338171016184483</x:v>
      </x:c>
      <x:c r="J22" s="52" t="n">
        <x:f>(H10+J10)*'Hypothèses'!$B$42</x:f>
        <x:v>0</x:v>
      </x:c>
      <x:c r="K22" s="52" t="n">
        <x:f>(I10+K10)*'Hypothèses'!$B$42</x:f>
        <x:v>0</x:v>
      </x:c>
      <x:c r="L22" s="52" t="n">
        <x:f>SUM(H11:K22)</x:f>
        <x:v>35.257265104765146</x:v>
      </x:c>
      <x:c r="M22" s="53" t="n">
        <x:f>F22*'Hypothèses'!$B$6+H22*'Hypothèses'!$B$7+I22*'Hypothèses'!$B$8+J22*'Hypothèses'!$B$7+K22*'Hypothèses'!$B$8</x:f>
        <x:v>749.8306614399288</x:v>
      </x:c>
      <x:c r="N22" s="53" t="n">
        <x:f>M22/(1+'Hypothèses'!$B$9)*(1-'Hypothèses'!$B$10)</x:f>
        <x:v>531.1300518532829</x:v>
      </x:c>
      <x:c r="O22" s="53" t="n">
        <x:f>(MAX(MIN(E22-'Hypothèses'!$B$24,'Hypothèses'!$B$25-'Hypothèses'!$B$24),0)/1000*'Hypothèses'!$B$26+MAX(MIN(E22-'Hypothèses'!$B$25,'Hypothèses'!$B$27-'Hypothèses'!$B$25),0)/1000*'Hypothèses'!$B$28+MAX(E22-'Hypothèses'!$B$27,0)/1000*'Hypothèses'!$B$29)*'Hypothèses'!$B$30</x:f>
        <x:v>0</x:v>
      </x:c>
      <x:c r="P22" s="53" t="n">
        <x:f>IF(A22&gt;='Hypothèses'!$B$12,'Hypothèses'!$B$15,0)+L22*'Hypothèses'!$B$16</x:f>
        <x:v>28.525726510476517</x:v>
      </x:c>
      <x:c r="Q22" s="53" t="n">
        <x:f>MAX(N22*'Hypothèses'!$B$17,'Hypothèses'!$B$18)+'Acquisition'!$C$22</x:f>
        <x:v>300</x:v>
      </x:c>
      <x:c r="R22" s="53" t="n">
        <x:f>'Hypothèses'!$B$22</x:f>
        <x:v>250</x:v>
      </x:c>
      <x:c r="S22" s="53" t="n">
        <x:f>'Hypothèses'!$B$19</x:f>
        <x:v>200</x:v>
      </x:c>
      <x:c r="T22" s="53" t="n">
        <x:f>'Hypothèses'!$B$20</x:f>
        <x:v>100</x:v>
      </x:c>
      <x:c r="U22" s="53" t="n">
        <x:f>'Hypothèses'!$B$44</x:f>
        <x:v>1000</x:v>
      </x:c>
      <x:c r="V22" s="53" t="n">
        <x:f>N22-SUM(O22:T22)-Z22</x:f>
        <x:v>-347.3956746571936</x:v>
      </x:c>
      <x:c r="W22" s="53" t="n">
        <x:f>SUM(O22:U22)+Z22</x:f>
        <x:v>1878.5257265104765</x:v>
      </x:c>
      <x:c r="X22" s="53" t="n">
        <x:f>N22-W22</x:f>
        <x:v>-1347.3956746571935</x:v>
      </x:c>
      <x:c r="Y22" s="53" t="n">
        <x:f>Y21+X22</x:f>
        <x:v>-16055.666551506783</x:v>
      </x:c>
      <x:c r="Z22" t="n">
        <x:f>IF(M22&gt;='Hypothèses'!$B$31*'Hypothèses'!$B$30,M22*'Hypothèses'!$B$32,0)</x:f>
        <x:v>0</x:v>
      </x:c>
    </x:row>
    <x:row r="23">
      <x:c r="A23" s="50" t="n">
        <x:v>20</x:v>
      </x:c>
      <x:c r="B23" s="51" t="n">
        <x:v>46966</x:v>
      </x:c>
      <x:c r="C23" s="113" t="n">
        <x:f>'Acquisition'!$F$23</x:f>
        <x:v>2340.71751120801</x:v>
      </x:c>
      <x:c r="D23" s="52" t="n">
        <x:f>SUM($C$4:C23)</x:f>
        <x:v>32306.958500826666</x:v>
      </x:c>
      <x:c r="E23" s="52" t="n">
        <x:f>C4*'Cohortes MAU'!$D$23+C5*'Cohortes MAU'!$D$22+C6*'Cohortes MAU'!$D$21+C7*'Cohortes MAU'!$D$20+C8*'Cohortes MAU'!$D$19+C9*'Cohortes MAU'!$D$18+C10*'Cohortes MAU'!$D$17+C11*'Cohortes MAU'!$D$16+C12*'Cohortes MAU'!$D$15+C13*'Cohortes MAU'!$D$14+C14*'Cohortes MAU'!$D$13+C15*'Cohortes MAU'!$D$12+C16*'Cohortes MAU'!$D$11+C17*'Cohortes MAU'!$D$10+C18*'Cohortes MAU'!$D$9+C19*'Cohortes MAU'!$D$8+C20*'Cohortes MAU'!$D$7+C21*'Cohortes MAU'!$D$6+C22*'Cohortes MAU'!$D$5+C23*'Cohortes MAU'!$D$4</x:f>
        <x:v>6461.391700165333</x:v>
      </x:c>
      <x:c r="F23" s="52" t="n">
        <x:f>C21*'Hypothèses'!$B$39</x:f>
        <x:v>32.4618737686022</x:v>
      </x:c>
      <x:c r="G23" s="52" t="n">
        <x:f>SUM($F$4:F23)</x:f>
        <x:v>415.7332661249335</x:v>
      </x:c>
      <x:c r="H23" s="52" t="n">
        <x:f>C20*'Hypothèses'!$B$40</x:f>
        <x:v>4.161778688282334</x:v>
      </x:c>
      <x:c r="I23" s="52" t="n">
        <x:f>G22*('Hypothèses'!$B$41/12)</x:f>
        <x:v>0.31939282696360943</x:v>
      </x:c>
      <x:c r="J23" s="52" t="n">
        <x:f>(H11+J11)*'Hypothèses'!$B$42</x:f>
        <x:v>0</x:v>
      </x:c>
      <x:c r="K23" s="52" t="n">
        <x:f>(I11+K11)*'Hypothèses'!$B$42</x:f>
        <x:v>0</x:v>
      </x:c>
      <x:c r="L23" s="52" t="n">
        <x:f>SUM(H12:K23)</x:f>
        <x:v>39.738436620011086</x:v>
      </x:c>
      <x:c r="M23" s="53" t="n">
        <x:f>F23*'Hypothèses'!$B$6+H23*'Hypothèses'!$B$7+I23*'Hypothèses'!$B$8+J23*'Hypothèses'!$B$7+K23*'Hypothèses'!$B$8</x:f>
        <x:v>780.1092621069478</x:v>
      </x:c>
      <x:c r="N23" s="53" t="n">
        <x:f>M23/(1+'Hypothèses'!$B$9)*(1-'Hypothèses'!$B$10)</x:f>
        <x:v>552.5773939924213</x:v>
      </x:c>
      <x:c r="O23" s="53" t="n">
        <x:f>(MAX(MIN(E23-'Hypothèses'!$B$24,'Hypothèses'!$B$25-'Hypothèses'!$B$24),0)/1000*'Hypothèses'!$B$26+MAX(MIN(E23-'Hypothèses'!$B$25,'Hypothèses'!$B$27-'Hypothèses'!$B$25),0)/1000*'Hypothèses'!$B$28+MAX(E23-'Hypothèses'!$B$27,0)/1000*'Hypothèses'!$B$29)*'Hypothèses'!$B$30</x:f>
        <x:v>0</x:v>
      </x:c>
      <x:c r="P23" s="53" t="n">
        <x:f>IF(A23&gt;='Hypothèses'!$B$12,'Hypothèses'!$B$15,0)+L23*'Hypothèses'!$B$16</x:f>
        <x:v>28.97384366200111</x:v>
      </x:c>
      <x:c r="Q23" s="53" t="n">
        <x:f>MAX(N23*'Hypothèses'!$B$17,'Hypothèses'!$B$18)+'Acquisition'!$C$23</x:f>
        <x:v>300</x:v>
      </x:c>
      <x:c r="R23" s="53" t="n">
        <x:f>'Hypothèses'!$B$22</x:f>
        <x:v>250</x:v>
      </x:c>
      <x:c r="S23" s="53" t="n">
        <x:f>'Hypothèses'!$B$19</x:f>
        <x:v>200</x:v>
      </x:c>
      <x:c r="T23" s="53" t="n">
        <x:f>'Hypothèses'!$B$20</x:f>
        <x:v>100</x:v>
      </x:c>
      <x:c r="U23" s="53" t="n">
        <x:f>'Hypothèses'!$B$44</x:f>
        <x:v>1000</x:v>
      </x:c>
      <x:c r="V23" s="53" t="n">
        <x:f>N23-SUM(O23:T23)-Z23</x:f>
        <x:v>-326.39644966957985</x:v>
      </x:c>
      <x:c r="W23" s="53" t="n">
        <x:f>SUM(O23:U23)+Z23</x:f>
        <x:v>1878.9738436620012</x:v>
      </x:c>
      <x:c r="X23" s="53" t="n">
        <x:f>N23-W23</x:f>
        <x:v>-1326.3964496695799</x:v>
      </x:c>
      <x:c r="Y23" s="53" t="n">
        <x:f>Y22+X23</x:f>
        <x:v>-17382.063001176364</x:v>
      </x:c>
      <x:c r="Z23" t="n">
        <x:f>IF(M23&gt;='Hypothèses'!$B$31*'Hypothèses'!$B$30,M23*'Hypothèses'!$B$32,0)</x:f>
        <x:v>0</x:v>
      </x:c>
    </x:row>
    <x:row r="24">
      <x:c r="A24" s="50" t="n">
        <x:v>21</x:v>
      </x:c>
      <x:c r="B24" s="51" t="n">
        <x:v>46997</x:v>
      </x:c>
      <x:c r="C24" s="113" t="n">
        <x:f>'Acquisition'!$F$24</x:f>
        <x:v>2434.3462116563305</x:v>
      </x:c>
      <x:c r="D24" s="52" t="n">
        <x:f>SUM($C$4:C24)</x:f>
        <x:v>34741.304712483</x:v>
      </x:c>
      <x:c r="E24" s="52" t="n">
        <x:f>C4*'Cohortes MAU'!$D$24+C5*'Cohortes MAU'!$D$23+C6*'Cohortes MAU'!$D$22+C7*'Cohortes MAU'!$D$21+C8*'Cohortes MAU'!$D$20+C9*'Cohortes MAU'!$D$19+C10*'Cohortes MAU'!$D$18+C11*'Cohortes MAU'!$D$17+C12*'Cohortes MAU'!$D$16+C13*'Cohortes MAU'!$D$15+C14*'Cohortes MAU'!$D$14+C15*'Cohortes MAU'!$D$13+C16*'Cohortes MAU'!$D$12+C17*'Cohortes MAU'!$D$11+C18*'Cohortes MAU'!$D$10+C19*'Cohortes MAU'!$D$9+C20*'Cohortes MAU'!$D$8+C21*'Cohortes MAU'!$D$7+C22*'Cohortes MAU'!$D$6+C23*'Cohortes MAU'!$D$5+C24*'Cohortes MAU'!$D$4</x:f>
        <x:v>6948.260942496599</x:v>
      </x:c>
      <x:c r="F24" s="52" t="n">
        <x:f>C22*'Hypothèses'!$B$39</x:f>
        <x:v>33.76034871934629</x:v>
      </x:c>
      <x:c r="G24" s="52" t="n">
        <x:f>SUM($F$4:F24)</x:f>
        <x:v>449.49361484427976</x:v>
      </x:c>
      <x:c r="H24" s="52" t="n">
        <x:f>C21*'Hypothèses'!$B$40</x:f>
        <x:v>4.328249835813628</x:v>
      </x:c>
      <x:c r="I24" s="52" t="n">
        <x:f>G23*('Hypothèses'!$B$41/12)</x:f>
        <x:v>0.3464443884374446</x:v>
      </x:c>
      <x:c r="J24" s="52" t="n">
        <x:f>(H12+J12)*'Hypothèses'!$B$42</x:f>
        <x:v>0</x:v>
      </x:c>
      <x:c r="K24" s="52" t="n">
        <x:f>(I12+K12)*'Hypothèses'!$B$42</x:f>
        <x:v>0</x:v>
      </x:c>
      <x:c r="L24" s="52" t="n">
        <x:f>SUM(H13:K24)</x:f>
        <x:v>44.41313084426216</x:v>
      </x:c>
      <x:c r="M24" s="53" t="n">
        <x:f>F24*'Hypothèses'!$B$6+H24*'Hypothèses'!$B$7+I24*'Hypothèses'!$B$8+J24*'Hypothèses'!$B$7+K24*'Hypothèses'!$B$8</x:f>
        <x:v>811.5990068006474</x:v>
      </x:c>
      <x:c r="N24" s="53" t="n">
        <x:f>M24/(1+'Hypothèses'!$B$9)*(1-'Hypothèses'!$B$10)</x:f>
        <x:v>574.8826298171252</x:v>
      </x:c>
      <x:c r="O24" s="53" t="n">
        <x:f>(MAX(MIN(E24-'Hypothèses'!$B$24,'Hypothèses'!$B$25-'Hypothèses'!$B$24),0)/1000*'Hypothèses'!$B$26+MAX(MIN(E24-'Hypothèses'!$B$25,'Hypothèses'!$B$27-'Hypothèses'!$B$25),0)/1000*'Hypothèses'!$B$28+MAX(E24-'Hypothèses'!$B$27,0)/1000*'Hypothèses'!$B$29)*'Hypothèses'!$B$30</x:f>
        <x:v>0</x:v>
      </x:c>
      <x:c r="P24" s="53" t="n">
        <x:f>IF(A24&gt;='Hypothèses'!$B$12,'Hypothèses'!$B$15,0)+L24*'Hypothèses'!$B$16</x:f>
        <x:v>29.441313084426216</x:v>
      </x:c>
      <x:c r="Q24" s="53" t="n">
        <x:f>MAX(N24*'Hypothèses'!$B$17,'Hypothèses'!$B$18)+'Acquisition'!$C$24</x:f>
        <x:v>300</x:v>
      </x:c>
      <x:c r="R24" s="53" t="n">
        <x:f>'Hypothèses'!$B$22</x:f>
        <x:v>250</x:v>
      </x:c>
      <x:c r="S24" s="53" t="n">
        <x:f>'Hypothèses'!$B$19</x:f>
        <x:v>200</x:v>
      </x:c>
      <x:c r="T24" s="53" t="n">
        <x:f>'Hypothèses'!$B$20</x:f>
        <x:v>100</x:v>
      </x:c>
      <x:c r="U24" s="53" t="n">
        <x:f>'Hypothèses'!$B$44</x:f>
        <x:v>1000</x:v>
      </x:c>
      <x:c r="V24" s="53" t="n">
        <x:f>N24-SUM(O24:T24)-Z24</x:f>
        <x:v>-304.5586832673009</x:v>
      </x:c>
      <x:c r="W24" s="53" t="n">
        <x:f>SUM(O24:U24)+Z24</x:f>
        <x:v>1879.4413130844262</x:v>
      </x:c>
      <x:c r="X24" s="53" t="n">
        <x:f>N24-W24</x:f>
        <x:v>-1304.558683267301</x:v>
      </x:c>
      <x:c r="Y24" s="53" t="n">
        <x:f>Y23+X24</x:f>
        <x:v>-18686.621684443664</x:v>
      </x:c>
      <x:c r="Z24" t="n">
        <x:f>IF(M24&gt;='Hypothèses'!$B$31*'Hypothèses'!$B$30,M24*'Hypothèses'!$B$32,0)</x:f>
        <x:v>0</x:v>
      </x:c>
    </x:row>
    <x:row r="25">
      <x:c r="A25" s="50" t="n">
        <x:v>22</x:v>
      </x:c>
      <x:c r="B25" s="51" t="n">
        <x:v>47027</x:v>
      </x:c>
      <x:c r="C25" s="113" t="n">
        <x:f>'Acquisition'!$F$25</x:f>
        <x:v>2531.7200601225836</x:v>
      </x:c>
      <x:c r="D25" s="52" t="n">
        <x:f>SUM($C$4:C25)</x:f>
        <x:v>37273.02477260558</x:v>
      </x:c>
      <x:c r="E25" s="52" t="n">
        <x:f>C4*'Cohortes MAU'!$D$25+C5*'Cohortes MAU'!$D$24+C6*'Cohortes MAU'!$D$23+C7*'Cohortes MAU'!$D$22+C8*'Cohortes MAU'!$D$21+C9*'Cohortes MAU'!$D$20+C10*'Cohortes MAU'!$D$19+C11*'Cohortes MAU'!$D$18+C12*'Cohortes MAU'!$D$17+C13*'Cohortes MAU'!$D$16+C14*'Cohortes MAU'!$D$15+C15*'Cohortes MAU'!$D$14+C16*'Cohortes MAU'!$D$13+C17*'Cohortes MAU'!$D$12+C18*'Cohortes MAU'!$D$11+C19*'Cohortes MAU'!$D$10+C20*'Cohortes MAU'!$D$9+C21*'Cohortes MAU'!$D$8+C22*'Cohortes MAU'!$D$7+C23*'Cohortes MAU'!$D$6+C24*'Cohortes MAU'!$D$5+C25*'Cohortes MAU'!$D$4</x:f>
        <x:v>7454.604954521115</x:v>
      </x:c>
      <x:c r="F25" s="52" t="n">
        <x:f>C23*'Hypothèses'!$B$39</x:f>
        <x:v>35.110762668120145</x:v>
      </x:c>
      <x:c r="G25" s="52" t="n">
        <x:f>SUM($F$4:F25)</x:f>
        <x:v>484.6043775123999</x:v>
      </x:c>
      <x:c r="H25" s="52" t="n">
        <x:f>C22*'Hypothèses'!$B$40</x:f>
        <x:v>4.501379829246172</x:v>
      </x:c>
      <x:c r="I25" s="52" t="n">
        <x:f>G24*('Hypothèses'!$B$41/12)</x:f>
        <x:v>0.37457801237023314</x:v>
      </x:c>
      <x:c r="J25" s="52" t="n">
        <x:f>(H13+J13)*'Hypothèses'!$B$42</x:f>
        <x:v>1.3400956406250004</x:v>
      </x:c>
      <x:c r="K25" s="52" t="n">
        <x:f>(I13+K13)*'Hypothèses'!$B$42</x:f>
        <x:v>0.05088755283203125</x:v>
      </x:c>
      <x:c r="L25" s="52" t="n">
        <x:f>SUM(H14:K25)</x:f>
        <x:v>47.898105492421536</x:v>
      </x:c>
      <x:c r="M25" s="53" t="n">
        <x:f>F25*'Hypothèses'!$B$6+H25*'Hypothèses'!$B$7+I25*'Hypothèses'!$B$8+J25*'Hypothèses'!$B$7+K25*'Hypothèses'!$B$8</x:f>
        <x:v>885.5550517255514</x:v>
      </x:c>
      <x:c r="N25" s="53" t="n">
        <x:f>M25/(1+'Hypothèses'!$B$9)*(1-'Hypothèses'!$B$10)</x:f>
        <x:v>627.2681616389323</x:v>
      </x:c>
      <x:c r="O25" s="53" t="n">
        <x:f>(MAX(MIN(E25-'Hypothèses'!$B$24,'Hypothèses'!$B$25-'Hypothèses'!$B$24),0)/1000*'Hypothèses'!$B$26+MAX(MIN(E25-'Hypothèses'!$B$25,'Hypothèses'!$B$27-'Hypothèses'!$B$25),0)/1000*'Hypothèses'!$B$28+MAX(E25-'Hypothèses'!$B$27,0)/1000*'Hypothèses'!$B$29)*'Hypothèses'!$B$30</x:f>
        <x:v>0</x:v>
      </x:c>
      <x:c r="P25" s="53" t="n">
        <x:f>IF(A25&gt;='Hypothèses'!$B$12,'Hypothèses'!$B$15,0)+L25*'Hypothèses'!$B$16</x:f>
        <x:v>29.789810549242155</x:v>
      </x:c>
      <x:c r="Q25" s="53" t="n">
        <x:f>MAX(N25*'Hypothèses'!$B$17,'Hypothèses'!$B$18)+'Acquisition'!$C$25</x:f>
        <x:v>300</x:v>
      </x:c>
      <x:c r="R25" s="53" t="n">
        <x:f>'Hypothèses'!$B$22</x:f>
        <x:v>250</x:v>
      </x:c>
      <x:c r="S25" s="53" t="n">
        <x:f>'Hypothèses'!$B$19</x:f>
        <x:v>200</x:v>
      </x:c>
      <x:c r="T25" s="53" t="n">
        <x:f>'Hypothèses'!$B$20</x:f>
        <x:v>100</x:v>
      </x:c>
      <x:c r="U25" s="53" t="n">
        <x:f>'Hypothèses'!$B$44</x:f>
        <x:v>1000</x:v>
      </x:c>
      <x:c r="V25" s="53" t="n">
        <x:f>N25-SUM(O25:T25)-Z25</x:f>
        <x:v>-252.52164891030986</x:v>
      </x:c>
      <x:c r="W25" s="53" t="n">
        <x:f>SUM(O25:U25)+Z25</x:f>
        <x:v>1879.7898105492422</x:v>
      </x:c>
      <x:c r="X25" s="53" t="n">
        <x:f>N25-W25</x:f>
        <x:v>-1252.52164891031</x:v>
      </x:c>
      <x:c r="Y25" s="53" t="n">
        <x:f>Y24+X25</x:f>
        <x:v>-19939.143333353975</x:v>
      </x:c>
      <x:c r="Z25" t="n">
        <x:f>IF(M25&gt;='Hypothèses'!$B$31*'Hypothèses'!$B$30,M25*'Hypothèses'!$B$32,0)</x:f>
        <x:v>0</x:v>
      </x:c>
    </x:row>
    <x:row r="26">
      <x:c r="A26" s="50" t="n">
        <x:v>23</x:v>
      </x:c>
      <x:c r="B26" s="51" t="n">
        <x:v>47058</x:v>
      </x:c>
      <x:c r="C26" s="113" t="n">
        <x:f>'Acquisition'!$F$26</x:f>
        <x:v>2632.988862527487</x:v>
      </x:c>
      <x:c r="D26" s="52" t="n">
        <x:f>SUM($C$4:C26)</x:f>
        <x:v>39906.01363513307</x:v>
      </x:c>
      <x:c r="E26" s="52" t="n">
        <x:f>C4*'Cohortes MAU'!$D$26+C5*'Cohortes MAU'!$D$25+C6*'Cohortes MAU'!$D$24+C7*'Cohortes MAU'!$D$23+C8*'Cohortes MAU'!$D$22+C9*'Cohortes MAU'!$D$21+C10*'Cohortes MAU'!$D$20+C11*'Cohortes MAU'!$D$19+C12*'Cohortes MAU'!$D$18+C13*'Cohortes MAU'!$D$17+C14*'Cohortes MAU'!$D$16+C15*'Cohortes MAU'!$D$15+C16*'Cohortes MAU'!$D$14+C17*'Cohortes MAU'!$D$13+C18*'Cohortes MAU'!$D$12+C19*'Cohortes MAU'!$D$11+C20*'Cohortes MAU'!$D$10+C21*'Cohortes MAU'!$D$9+C22*'Cohortes MAU'!$D$8+C23*'Cohortes MAU'!$D$7+C24*'Cohortes MAU'!$D$6+C25*'Cohortes MAU'!$D$5+C26*'Cohortes MAU'!$D$4</x:f>
        <x:v>7981.202727026613</x:v>
      </x:c>
      <x:c r="F26" s="52" t="n">
        <x:f>C24*'Hypothèses'!$B$39</x:f>
        <x:v>36.51519317484496</x:v>
      </x:c>
      <x:c r="G26" s="52" t="n">
        <x:f>SUM($F$4:F26)</x:f>
        <x:v>521.1195706872448</x:v>
      </x:c>
      <x:c r="H26" s="52" t="n">
        <x:f>C23*'Hypothèses'!$B$40</x:f>
        <x:v>4.68143502241602</x:v>
      </x:c>
      <x:c r="I26" s="52" t="n">
        <x:f>G25*('Hypothèses'!$B$41/12)</x:f>
        <x:v>0.40383698126033324</x:v>
      </x:c>
      <x:c r="J26" s="52" t="n">
        <x:f>(H14+J14)*'Hypothèses'!$B$42</x:f>
        <x:v>1.4071004226562505</x:v>
      </x:c>
      <x:c r="K26" s="52" t="n">
        <x:f>(I14+K14)*'Hypothèses'!$B$42</x:f>
        <x:v>0.059681930473632815</x:v>
      </x:c>
      <x:c r="L26" s="52" t="n">
        <x:f>SUM(H15:K26)</x:f>
        <x:v>51.51659514296801</x:v>
      </x:c>
      <x:c r="M26" s="53" t="n">
        <x:f>F26*'Hypothèses'!$B$6+H26*'Hypothèses'!$B$7+I26*'Hypothèses'!$B$8+J26*'Hypothèses'!$B$7+K26*'Hypothèses'!$B$8</x:f>
        <x:v>921.79963260843</x:v>
      </x:c>
      <x:c r="N26" s="53" t="n">
        <x:f>M26/(1+'Hypothèses'!$B$9)*(1-'Hypothèses'!$B$10)</x:f>
        <x:v>652.9414064309713</x:v>
      </x:c>
      <x:c r="O26" s="53" t="n">
        <x:f>(MAX(MIN(E26-'Hypothèses'!$B$24,'Hypothèses'!$B$25-'Hypothèses'!$B$24),0)/1000*'Hypothèses'!$B$26+MAX(MIN(E26-'Hypothèses'!$B$25,'Hypothèses'!$B$27-'Hypothèses'!$B$25),0)/1000*'Hypothèses'!$B$28+MAX(E26-'Hypothèses'!$B$27,0)/1000*'Hypothèses'!$B$29)*'Hypothèses'!$B$30</x:f>
        <x:v>0</x:v>
      </x:c>
      <x:c r="P26" s="53" t="n">
        <x:f>IF(A26&gt;='Hypothèses'!$B$12,'Hypothèses'!$B$15,0)+L26*'Hypothèses'!$B$16</x:f>
        <x:v>30.151659514296803</x:v>
      </x:c>
      <x:c r="Q26" s="53" t="n">
        <x:f>MAX(N26*'Hypothèses'!$B$17,'Hypothèses'!$B$18)+'Acquisition'!$C$26</x:f>
        <x:v>300</x:v>
      </x:c>
      <x:c r="R26" s="53" t="n">
        <x:f>'Hypothèses'!$B$22</x:f>
        <x:v>250</x:v>
      </x:c>
      <x:c r="S26" s="53" t="n">
        <x:f>'Hypothèses'!$B$19</x:f>
        <x:v>200</x:v>
      </x:c>
      <x:c r="T26" s="53" t="n">
        <x:f>'Hypothèses'!$B$20</x:f>
        <x:v>100</x:v>
      </x:c>
      <x:c r="U26" s="53" t="n">
        <x:f>'Hypothèses'!$B$44</x:f>
        <x:v>1000</x:v>
      </x:c>
      <x:c r="V26" s="53" t="n">
        <x:f>N26-SUM(O26:T26)-Z26</x:f>
        <x:v>-227.2102530833256</x:v>
      </x:c>
      <x:c r="W26" s="53" t="n">
        <x:f>SUM(O26:U26)+Z26</x:f>
        <x:v>1880.1516595142969</x:v>
      </x:c>
      <x:c r="X26" s="53" t="n">
        <x:f>N26-W26</x:f>
        <x:v>-1227.2102530833256</x:v>
      </x:c>
      <x:c r="Y26" s="53" t="n">
        <x:f>Y25+X26</x:f>
        <x:v>-21166.3535864373</x:v>
      </x:c>
      <x:c r="Z26" t="n">
        <x:f>IF(M26&gt;='Hypothèses'!$B$31*'Hypothèses'!$B$30,M26*'Hypothèses'!$B$32,0)</x:f>
        <x:v>0</x:v>
      </x:c>
    </x:row>
    <x:row r="27">
      <x:c r="A27" s="50" t="n">
        <x:v>24</x:v>
      </x:c>
      <x:c r="B27" s="51" t="n">
        <x:v>47088</x:v>
      </x:c>
      <x:c r="C27" s="113" t="n">
        <x:f>'Acquisition'!$F$27</x:f>
        <x:v>2738.3084170285865</x:v>
      </x:c>
      <x:c r="D27" s="52" t="n">
        <x:f>SUM($C$4:C27)</x:f>
        <x:v>42644.32205216166</x:v>
      </x:c>
      <x:c r="E27" s="52" t="n">
        <x:f>C4*'Cohortes MAU'!$D$27+C5*'Cohortes MAU'!$D$26+C6*'Cohortes MAU'!$D$25+C7*'Cohortes MAU'!$D$24+C8*'Cohortes MAU'!$D$23+C9*'Cohortes MAU'!$D$22+C10*'Cohortes MAU'!$D$21+C11*'Cohortes MAU'!$D$20+C12*'Cohortes MAU'!$D$19+C13*'Cohortes MAU'!$D$18+C14*'Cohortes MAU'!$D$17+C15*'Cohortes MAU'!$D$16+C16*'Cohortes MAU'!$D$15+C17*'Cohortes MAU'!$D$14+C18*'Cohortes MAU'!$D$13+C19*'Cohortes MAU'!$D$12+C20*'Cohortes MAU'!$D$11+C21*'Cohortes MAU'!$D$10+C22*'Cohortes MAU'!$D$9+C23*'Cohortes MAU'!$D$8+C24*'Cohortes MAU'!$D$7+C25*'Cohortes MAU'!$D$6+C26*'Cohortes MAU'!$D$5+C27*'Cohortes MAU'!$D$4</x:f>
        <x:v>8528.86441043233</x:v>
      </x:c>
      <x:c r="F27" s="52" t="n">
        <x:f>C25*'Hypothèses'!$B$39</x:f>
        <x:v>37.97580090183875</x:v>
      </x:c>
      <x:c r="G27" s="52" t="n">
        <x:f>SUM($F$4:F27)</x:f>
        <x:v>559.0953715890836</x:v>
      </x:c>
      <x:c r="H27" s="52" t="n">
        <x:f>C24*'Hypothèses'!$B$40</x:f>
        <x:v>4.868692423312661</x:v>
      </x:c>
      <x:c r="I27" s="52" t="n">
        <x:f>G26*('Hypothèses'!$B$41/12)</x:f>
        <x:v>0.4342663089060374</x:v>
      </x:c>
      <x:c r="J27" s="52" t="n">
        <x:f>(H15+J15)*'Hypothèses'!$B$42</x:f>
        <x:v>1.4774554437890632</x:v>
      </x:c>
      <x:c r="K27" s="52" t="n">
        <x:f>(I15+K15)*'Hypothèses'!$B$42</x:f>
        <x:v>0.06891602699731446</x:v>
      </x:c>
      <x:c r="L27" s="52" t="n">
        <x:f>SUM(H16:K27)</x:f>
        <x:v>55.27318240440033</x:v>
      </x:c>
      <x:c r="M27" s="53" t="n">
        <x:f>F27*'Hypothèses'!$B$6+H27*'Hypothèses'!$B$7+I27*'Hypothèses'!$B$8+J27*'Hypothèses'!$B$7+K27*'Hypothèses'!$B$8</x:f>
        <x:v>959.5158494568454</x:v>
      </x:c>
      <x:c r="N27" s="53" t="n">
        <x:f>M27/(1+'Hypothèses'!$B$9)*(1-'Hypothèses'!$B$10)</x:f>
        <x:v>679.6570600319321</x:v>
      </x:c>
      <x:c r="O27" s="53" t="n">
        <x:f>(MAX(MIN(E27-'Hypothèses'!$B$24,'Hypothèses'!$B$25-'Hypothèses'!$B$24),0)/1000*'Hypothèses'!$B$26+MAX(MIN(E27-'Hypothèses'!$B$25,'Hypothèses'!$B$27-'Hypothèses'!$B$25),0)/1000*'Hypothèses'!$B$28+MAX(E27-'Hypothèses'!$B$27,0)/1000*'Hypothèses'!$B$29)*'Hypothèses'!$B$30</x:f>
        <x:v>0</x:v>
      </x:c>
      <x:c r="P27" s="53" t="n">
        <x:f>IF(A27&gt;='Hypothèses'!$B$12,'Hypothèses'!$B$15,0)+L27*'Hypothèses'!$B$16</x:f>
        <x:v>30.52731824044003</x:v>
      </x:c>
      <x:c r="Q27" s="53" t="n">
        <x:f>MAX(N27*'Hypothèses'!$B$17,'Hypothèses'!$B$18)+'Acquisition'!$C$27</x:f>
        <x:v>300</x:v>
      </x:c>
      <x:c r="R27" s="53" t="n">
        <x:f>'Hypothèses'!$B$22</x:f>
        <x:v>250</x:v>
      </x:c>
      <x:c r="S27" s="53" t="n">
        <x:f>'Hypothèses'!$B$19</x:f>
        <x:v>200</x:v>
      </x:c>
      <x:c r="T27" s="53" t="n">
        <x:f>'Hypothèses'!$B$20</x:f>
        <x:v>100</x:v>
      </x:c>
      <x:c r="U27" s="53" t="n">
        <x:f>'Hypothèses'!$B$44</x:f>
        <x:v>1000</x:v>
      </x:c>
      <x:c r="V27" s="53" t="n">
        <x:f>N27-SUM(O27:T27)-Z27</x:f>
        <x:v>-200.87025820850795</x:v>
      </x:c>
      <x:c r="W27" s="53" t="n">
        <x:f>SUM(O27:U27)+Z27</x:f>
        <x:v>1880.52731824044</x:v>
      </x:c>
      <x:c r="X27" s="53" t="n">
        <x:f>N27-W27</x:f>
        <x:v>-1200.870258208508</x:v>
      </x:c>
      <x:c r="Y27" s="53" t="n">
        <x:f>Y26+X27</x:f>
        <x:v>-22367.223844645807</x:v>
      </x:c>
      <x:c r="Z27" t="n">
        <x:f>IF(M27&gt;='Hypothèses'!$B$31*'Hypothèses'!$B$30,M27*'Hypothèses'!$B$32,0)</x:f>
        <x:v>0</x:v>
      </x:c>
    </x:row>
    <x:row r="28">
      <x:c r="A28" s="50" t="n">
        <x:v>25</x:v>
      </x:c>
      <x:c r="B28" s="51" t="n">
        <x:v>47119</x:v>
      </x:c>
      <x:c r="C28" s="113" t="n">
        <x:f>'Acquisition'!$F$28</x:f>
        <x:v>2793.0745853691583</x:v>
      </x:c>
      <x:c r="D28" s="52" t="n">
        <x:f>SUM($C$4:C28)</x:f>
        <x:v>45437.396637530815</x:v>
      </x:c>
      <x:c r="E28" s="52" t="n">
        <x:f>C4*'Cohortes MAU'!$D$28+C5*'Cohortes MAU'!$D$27+C6*'Cohortes MAU'!$D$26+C7*'Cohortes MAU'!$D$25+C8*'Cohortes MAU'!$D$24+C9*'Cohortes MAU'!$D$23+C10*'Cohortes MAU'!$D$22+C11*'Cohortes MAU'!$D$21+C12*'Cohortes MAU'!$D$20+C13*'Cohortes MAU'!$D$19+C14*'Cohortes MAU'!$D$18+C15*'Cohortes MAU'!$D$17+C16*'Cohortes MAU'!$D$16+C17*'Cohortes MAU'!$D$15+C18*'Cohortes MAU'!$D$14+C19*'Cohortes MAU'!$D$13+C20*'Cohortes MAU'!$D$12+C21*'Cohortes MAU'!$D$11+C22*'Cohortes MAU'!$D$10+C23*'Cohortes MAU'!$D$9+C24*'Cohortes MAU'!$D$8+C25*'Cohortes MAU'!$D$7+C26*'Cohortes MAU'!$D$6+C27*'Cohortes MAU'!$D$5+C28*'Cohortes MAU'!$D$4</x:f>
        <x:v>9087.479327506162</x:v>
      </x:c>
      <x:c r="F28" s="52" t="n">
        <x:f>C26*'Hypothèses'!$B$39</x:f>
        <x:v>39.49483293791231</x:v>
      </x:c>
      <x:c r="G28" s="52" t="n">
        <x:f>SUM($F$4:F28)</x:f>
        <x:v>598.5902045269959</x:v>
      </x:c>
      <x:c r="H28" s="52" t="n">
        <x:f>C25*'Hypothèses'!$B$40</x:f>
        <x:v>5.0634401202451675</x:v>
      </x:c>
      <x:c r="I28" s="52" t="n">
        <x:f>G27*('Hypothèses'!$B$41/12)</x:f>
        <x:v>0.4659128096575697</x:v>
      </x:c>
      <x:c r="J28" s="52" t="n">
        <x:f>(H16+J16)*'Hypothèses'!$B$42</x:f>
        <x:v>1.5513282159785162</x:v>
      </x:c>
      <x:c r="K28" s="52" t="n">
        <x:f>(I16+K16)*'Hypothèses'!$B$42</x:f>
        <x:v>0.0786118283471802</x:v>
      </x:c>
      <x:c r="L28" s="52" t="n">
        <x:f>SUM(H17:K28)</x:f>
        <x:v>59.17259528997736</x:v>
      </x:c>
      <x:c r="M28" s="53" t="n">
        <x:f>F28*'Hypothèses'!$B$6+H28*'Hypothèses'!$B$7+I28*'Hypothèses'!$B$8+J28*'Hypothèses'!$B$7+K28*'Hypothèses'!$B$8</x:f>
        <x:v>998.7636603459302</x:v>
      </x:c>
      <x:c r="N28" s="53" t="n">
        <x:f>M28/(1+'Hypothèses'!$B$9)*(1-'Hypothèses'!$B$10)</x:f>
        <x:v>707.4575927450339</x:v>
      </x:c>
      <x:c r="O28" s="53" t="n">
        <x:f>(MAX(MIN(E28-'Hypothèses'!$B$24,'Hypothèses'!$B$25-'Hypothèses'!$B$24),0)/1000*'Hypothèses'!$B$26+MAX(MIN(E28-'Hypothèses'!$B$25,'Hypothèses'!$B$27-'Hypothèses'!$B$25),0)/1000*'Hypothèses'!$B$28+MAX(E28-'Hypothèses'!$B$27,0)/1000*'Hypothèses'!$B$29)*'Hypothèses'!$B$30</x:f>
        <x:v>0</x:v>
      </x:c>
      <x:c r="P28" s="53" t="n">
        <x:f>IF(A28&gt;='Hypothèses'!$B$12,'Hypothèses'!$B$15,0)+L28*'Hypothèses'!$B$16</x:f>
        <x:v>30.917259528997736</x:v>
      </x:c>
      <x:c r="Q28" s="53" t="n">
        <x:f>MAX(N28*'Hypothèses'!$B$17,'Hypothèses'!$B$18)+'Acquisition'!$C$28</x:f>
        <x:v>300</x:v>
      </x:c>
      <x:c r="R28" s="53" t="n">
        <x:f>'Hypothèses'!$B$23</x:f>
        <x:v>400</x:v>
      </x:c>
      <x:c r="S28" s="53" t="n">
        <x:f>'Hypothèses'!$B$19</x:f>
        <x:v>200</x:v>
      </x:c>
      <x:c r="T28" s="53" t="n">
        <x:f>'Hypothèses'!$B$20</x:f>
        <x:v>100</x:v>
      </x:c>
      <x:c r="U28" s="53" t="n">
        <x:f>'Hypothèses'!$B$45</x:f>
        <x:v>2000</x:v>
      </x:c>
      <x:c r="V28" s="53" t="n">
        <x:f>N28-SUM(O28:T28)-Z28</x:f>
        <x:v>-323.45966678396394</x:v>
      </x:c>
      <x:c r="W28" s="53" t="n">
        <x:f>SUM(O28:U28)+Z28</x:f>
        <x:v>3030.917259528998</x:v>
      </x:c>
      <x:c r="X28" s="53" t="n">
        <x:f>N28-W28</x:f>
        <x:v>-2323.459666783964</x:v>
      </x:c>
      <x:c r="Y28" s="53" t="n">
        <x:f>Y27+X28</x:f>
        <x:v>-24690.683511429772</x:v>
      </x:c>
      <x:c r="Z28" t="n">
        <x:f>IF(M28&gt;='Hypothèses'!$B$31*'Hypothèses'!$B$30,M28*'Hypothèses'!$B$32,0)</x:f>
        <x:v>0</x:v>
      </x:c>
    </x:row>
    <x:row r="29">
      <x:c r="A29" s="50" t="n">
        <x:v>26</x:v>
      </x:c>
      <x:c r="B29" s="51" t="n">
        <x:v>47150</x:v>
      </x:c>
      <x:c r="C29" s="113" t="n">
        <x:f>'Acquisition'!$F$29</x:f>
        <x:v>2848.9360770765416</x:v>
      </x:c>
      <x:c r="D29" s="52" t="n">
        <x:f>SUM($C$4:C29)</x:f>
        <x:v>48286.33271460736</x:v>
      </x:c>
      <x:c r="E29" s="52" t="n">
        <x:f>C4*'Cohortes MAU'!$D$29+C5*'Cohortes MAU'!$D$28+C6*'Cohortes MAU'!$D$27+C7*'Cohortes MAU'!$D$26+C8*'Cohortes MAU'!$D$25+C9*'Cohortes MAU'!$D$24+C10*'Cohortes MAU'!$D$23+C11*'Cohortes MAU'!$D$22+C12*'Cohortes MAU'!$D$21+C13*'Cohortes MAU'!$D$20+C14*'Cohortes MAU'!$D$19+C15*'Cohortes MAU'!$D$18+C16*'Cohortes MAU'!$D$17+C17*'Cohortes MAU'!$D$16+C18*'Cohortes MAU'!$D$15+C19*'Cohortes MAU'!$D$14+C20*'Cohortes MAU'!$D$13+C21*'Cohortes MAU'!$D$12+C22*'Cohortes MAU'!$D$11+C23*'Cohortes MAU'!$D$10+C24*'Cohortes MAU'!$D$9+C25*'Cohortes MAU'!$D$8+C26*'Cohortes MAU'!$D$7+C27*'Cohortes MAU'!$D$6+C28*'Cohortes MAU'!$D$5+C29*'Cohortes MAU'!$D$4</x:f>
        <x:v>9657.26654292147</x:v>
      </x:c>
      <x:c r="F29" s="52" t="n">
        <x:f>C27*'Hypothèses'!$B$39</x:f>
        <x:v>41.0746262554288</x:v>
      </x:c>
      <x:c r="G29" s="52" t="n">
        <x:f>SUM($F$4:F29)</x:f>
        <x:v>639.6648307824247</x:v>
      </x:c>
      <x:c r="H29" s="52" t="n">
        <x:f>C26*'Hypothèses'!$B$40</x:f>
        <x:v>5.265977725054975</x:v>
      </x:c>
      <x:c r="I29" s="52" t="n">
        <x:f>G28*('Hypothèses'!$B$41/12)</x:f>
        <x:v>0.49882517043916325</x:v>
      </x:c>
      <x:c r="J29" s="52" t="n">
        <x:f>(H17+J17)*'Hypothèses'!$B$42</x:f>
        <x:v>1.6288946267774422</x:v>
      </x:c>
      <x:c r="K29" s="52" t="n">
        <x:f>(I17+K17)*'Hypothèses'!$B$42</x:f>
        <x:v>0.08879241976453921</x:v>
      </x:c>
      <x:c r="L29" s="52" t="n">
        <x:f>SUM(H18:K29)</x:f>
        <x:v>63.21971113892951</x:v>
      </x:c>
      <x:c r="M29" s="53" t="n">
        <x:f>F29*'Hypothèses'!$B$6+H29*'Hypothèses'!$B$7+I29*'Hypothèses'!$B$8+J29*'Hypothèses'!$B$7+K29*'Hypothèses'!$B$8</x:f>
        <x:v>1039.605476305648</x:v>
      </x:c>
      <x:c r="N29" s="53" t="n">
        <x:f>M29/(1+'Hypothèses'!$B$9)*(1-'Hypothèses'!$B$10)</x:f>
        <x:v>736.3872123831673</x:v>
      </x:c>
      <x:c r="O29" s="53" t="n">
        <x:f>(MAX(MIN(E29-'Hypothèses'!$B$24,'Hypothèses'!$B$25-'Hypothèses'!$B$24),0)/1000*'Hypothèses'!$B$26+MAX(MIN(E29-'Hypothèses'!$B$25,'Hypothèses'!$B$27-'Hypothèses'!$B$25),0)/1000*'Hypothèses'!$B$28+MAX(E29-'Hypothèses'!$B$27,0)/1000*'Hypothèses'!$B$29)*'Hypothèses'!$B$30</x:f>
        <x:v>0</x:v>
      </x:c>
      <x:c r="P29" s="53" t="n">
        <x:f>IF(A29&gt;='Hypothèses'!$B$12,'Hypothèses'!$B$15,0)+L29*'Hypothèses'!$B$16</x:f>
        <x:v>31.32197111389295</x:v>
      </x:c>
      <x:c r="Q29" s="53" t="n">
        <x:f>MAX(N29*'Hypothèses'!$B$17,'Hypothèses'!$B$18)+'Acquisition'!$C$29</x:f>
        <x:v>300</x:v>
      </x:c>
      <x:c r="R29" s="53" t="n">
        <x:f>'Hypothèses'!$B$23</x:f>
        <x:v>400</x:v>
      </x:c>
      <x:c r="S29" s="53" t="n">
        <x:f>'Hypothèses'!$B$19</x:f>
        <x:v>200</x:v>
      </x:c>
      <x:c r="T29" s="53" t="n">
        <x:f>'Hypothèses'!$B$20</x:f>
        <x:v>100</x:v>
      </x:c>
      <x:c r="U29" s="53" t="n">
        <x:f>'Hypothèses'!$B$45</x:f>
        <x:v>2000</x:v>
      </x:c>
      <x:c r="V29" s="53" t="n">
        <x:f>N29-SUM(O29:T29)-Z29</x:f>
        <x:v>-294.93475873072566</x:v>
      </x:c>
      <x:c r="W29" s="53" t="n">
        <x:f>SUM(O29:U29)+Z29</x:f>
        <x:v>3031.3219711138927</x:v>
      </x:c>
      <x:c r="X29" s="53" t="n">
        <x:f>N29-W29</x:f>
        <x:v>-2294.9347587307257</x:v>
      </x:c>
      <x:c r="Y29" s="53" t="n">
        <x:f>Y28+X29</x:f>
        <x:v>-26985.6182701605</x:v>
      </x:c>
      <x:c r="Z29" t="n">
        <x:f>IF(M29&gt;='Hypothèses'!$B$31*'Hypothèses'!$B$30,M29*'Hypothèses'!$B$32,0)</x:f>
        <x:v>0</x:v>
      </x:c>
    </x:row>
    <x:row r="30">
      <x:c r="A30" s="50" t="n">
        <x:v>27</x:v>
      </x:c>
      <x:c r="B30" s="51" t="n">
        <x:v>47178</x:v>
      </x:c>
      <x:c r="C30" s="113" t="n">
        <x:f>'Acquisition'!$F$30</x:f>
        <x:v>2905.9147986180724</x:v>
      </x:c>
      <x:c r="D30" s="52" t="n">
        <x:f>SUM($C$4:C30)</x:f>
        <x:v>51192.24751322543</x:v>
      </x:c>
      <x:c r="E30" s="52" t="n">
        <x:f>C4*'Cohortes MAU'!$D$30+C5*'Cohortes MAU'!$D$29+C6*'Cohortes MAU'!$D$28+C7*'Cohortes MAU'!$D$27+C8*'Cohortes MAU'!$D$26+C9*'Cohortes MAU'!$D$25+C10*'Cohortes MAU'!$D$24+C11*'Cohortes MAU'!$D$23+C12*'Cohortes MAU'!$D$22+C13*'Cohortes MAU'!$D$21+C14*'Cohortes MAU'!$D$20+C15*'Cohortes MAU'!$D$19+C16*'Cohortes MAU'!$D$18+C17*'Cohortes MAU'!$D$17+C18*'Cohortes MAU'!$D$16+C19*'Cohortes MAU'!$D$15+C20*'Cohortes MAU'!$D$14+C21*'Cohortes MAU'!$D$13+C22*'Cohortes MAU'!$D$12+C23*'Cohortes MAU'!$D$11+C24*'Cohortes MAU'!$D$10+C25*'Cohortes MAU'!$D$9+C26*'Cohortes MAU'!$D$8+C27*'Cohortes MAU'!$D$7+C28*'Cohortes MAU'!$D$6+C29*'Cohortes MAU'!$D$5+C30*'Cohortes MAU'!$D$4</x:f>
        <x:v>10238.449502645084</x:v>
      </x:c>
      <x:c r="F30" s="52" t="n">
        <x:f>C28*'Hypothèses'!$B$39</x:f>
        <x:v>41.89611878053737</x:v>
      </x:c>
      <x:c r="G30" s="52" t="n">
        <x:f>SUM($F$4:F30)</x:f>
        <x:v>681.560949562962</x:v>
      </x:c>
      <x:c r="H30" s="52" t="n">
        <x:f>C27*'Hypothèses'!$B$40</x:f>
        <x:v>5.4766168340571735</x:v>
      </x:c>
      <x:c r="I30" s="52" t="n">
        <x:f>G29*('Hypothèses'!$B$41/12)</x:f>
        <x:v>0.5330540256520206</x:v>
      </x:c>
      <x:c r="J30" s="52" t="n">
        <x:f>(H18+J18)*'Hypothèses'!$B$42</x:f>
        <x:v>1.7103393581163144</x:v>
      </x:c>
      <x:c r="K30" s="52" t="n">
        <x:f>(I18+K18)*'Hypothèses'!$B$42</x:f>
        <x:v>0.09948204075276616</x:v>
      </x:c>
      <x:c r="L30" s="52" t="n">
        <x:f>SUM(H19:K30)</x:f>
        <x:v>67.41956059976962</x:v>
      </x:c>
      <x:c r="M30" s="53" t="n">
        <x:f>F30*'Hypothèses'!$B$6+H30*'Hypothèses'!$B$7+I30*'Hypothèses'!$B$8+J30*'Hypothèses'!$B$7+K30*'Hypothèses'!$B$8</x:f>
        <x:v>1065.6846265936565</x:v>
      </x:c>
      <x:c r="N30" s="53" t="n">
        <x:f>M30/(1+'Hypothèses'!$B$9)*(1-'Hypothèses'!$B$10)</x:f>
        <x:v>754.8599438371734</x:v>
      </x:c>
      <x:c r="O30" s="53" t="n">
        <x:f>(MAX(MIN(E30-'Hypothèses'!$B$24,'Hypothèses'!$B$25-'Hypothèses'!$B$24),0)/1000*'Hypothèses'!$B$26+MAX(MIN(E30-'Hypothèses'!$B$25,'Hypothèses'!$B$27-'Hypothèses'!$B$25),0)/1000*'Hypothèses'!$B$28+MAX(E30-'Hypothèses'!$B$27,0)/1000*'Hypothèses'!$B$29)*'Hypothèses'!$B$30</x:f>
        <x:v>0</x:v>
      </x:c>
      <x:c r="P30" s="53" t="n">
        <x:f>IF(A30&gt;='Hypothèses'!$B$12,'Hypothèses'!$B$15,0)+L30*'Hypothèses'!$B$16</x:f>
        <x:v>31.741956059976964</x:v>
      </x:c>
      <x:c r="Q30" s="53" t="n">
        <x:f>MAX(N30*'Hypothèses'!$B$17,'Hypothèses'!$B$18)+'Acquisition'!$C$30</x:f>
        <x:v>300</x:v>
      </x:c>
      <x:c r="R30" s="53" t="n">
        <x:f>'Hypothèses'!$B$23</x:f>
        <x:v>400</x:v>
      </x:c>
      <x:c r="S30" s="53" t="n">
        <x:f>'Hypothèses'!$B$19</x:f>
        <x:v>200</x:v>
      </x:c>
      <x:c r="T30" s="53" t="n">
        <x:f>'Hypothèses'!$B$20</x:f>
        <x:v>100</x:v>
      </x:c>
      <x:c r="U30" s="53" t="n">
        <x:f>'Hypothèses'!$B$45</x:f>
        <x:v>2000</x:v>
      </x:c>
      <x:c r="V30" s="53" t="n">
        <x:f>N30-SUM(O30:T30)-Z30</x:f>
        <x:v>-276.8820122228035</x:v>
      </x:c>
      <x:c r="W30" s="53" t="n">
        <x:f>SUM(O30:U30)+Z30</x:f>
        <x:v>3031.741956059977</x:v>
      </x:c>
      <x:c r="X30" s="53" t="n">
        <x:f>N30-W30</x:f>
        <x:v>-2276.8820122228035</x:v>
      </x:c>
      <x:c r="Y30" s="53" t="n">
        <x:f>Y29+X30</x:f>
        <x:v>-29262.500282383302</x:v>
      </x:c>
      <x:c r="Z30" t="n">
        <x:f>IF(M30&gt;='Hypothèses'!$B$31*'Hypothèses'!$B$30,M30*'Hypothèses'!$B$32,0)</x:f>
        <x:v>0</x:v>
      </x:c>
    </x:row>
    <x:row r="31">
      <x:c r="A31" s="50" t="n">
        <x:v>28</x:v>
      </x:c>
      <x:c r="B31" s="51" t="n">
        <x:v>47209</x:v>
      </x:c>
      <x:c r="C31" s="113" t="n">
        <x:f>'Acquisition'!$F$31</x:f>
        <x:v>2964.033094590434</x:v>
      </x:c>
      <x:c r="D31" s="52" t="n">
        <x:f>SUM($C$4:C31)</x:f>
        <x:v>54156.28060781587</x:v>
      </x:c>
      <x:c r="E31" s="52" t="n">
        <x:f>C4*'Cohortes MAU'!$D$31+C5*'Cohortes MAU'!$D$30+C6*'Cohortes MAU'!$D$29+C7*'Cohortes MAU'!$D$28+C8*'Cohortes MAU'!$D$27+C9*'Cohortes MAU'!$D$26+C10*'Cohortes MAU'!$D$25+C11*'Cohortes MAU'!$D$24+C12*'Cohortes MAU'!$D$23+C13*'Cohortes MAU'!$D$22+C14*'Cohortes MAU'!$D$21+C15*'Cohortes MAU'!$D$20+C16*'Cohortes MAU'!$D$19+C17*'Cohortes MAU'!$D$18+C18*'Cohortes MAU'!$D$17+C19*'Cohortes MAU'!$D$16+C20*'Cohortes MAU'!$D$15+C21*'Cohortes MAU'!$D$14+C22*'Cohortes MAU'!$D$13+C23*'Cohortes MAU'!$D$12+C24*'Cohortes MAU'!$D$11+C25*'Cohortes MAU'!$D$10+C26*'Cohortes MAU'!$D$9+C27*'Cohortes MAU'!$D$8+C28*'Cohortes MAU'!$D$7+C29*'Cohortes MAU'!$D$6+C30*'Cohortes MAU'!$D$5+C31*'Cohortes MAU'!$D$4</x:f>
        <x:v>10831.25612156317</x:v>
      </x:c>
      <x:c r="F31" s="52" t="n">
        <x:f>C29*'Hypothèses'!$B$39</x:f>
        <x:v>42.73404115614812</x:v>
      </x:c>
      <x:c r="G31" s="52" t="n">
        <x:f>SUM($F$4:F31)</x:f>
        <x:v>724.2949907191102</x:v>
      </x:c>
      <x:c r="H31" s="52" t="n">
        <x:f>C28*'Hypothèses'!$B$40</x:f>
        <x:v>5.586149170738317</x:v>
      </x:c>
      <x:c r="I31" s="52" t="n">
        <x:f>G30*('Hypothèses'!$B$41/12)</x:f>
        <x:v>0.5679674579691351</x:v>
      </x:c>
      <x:c r="J31" s="52" t="n">
        <x:f>(H19+J19)*'Hypothèses'!$B$42</x:f>
        <x:v>1.778752932440967</x:v>
      </x:c>
      <x:c r="K31" s="52" t="n">
        <x:f>(I19+K19)*'Hypothèses'!$B$42</x:f>
        <x:v>0.11059924658052221</x:v>
      </x:c>
      <x:c r="L31" s="52" t="n">
        <x:f>SUM(H20:K31)</x:f>
        <x:v>71.68432504945558</x:v>
      </x:c>
      <x:c r="M31" s="53" t="n">
        <x:f>F31*'Hypothèses'!$B$6+H31*'Hypothèses'!$B$7+I31*'Hypothèses'!$B$8+J31*'Hypothèses'!$B$7+K31*'Hypothèses'!$B$8</x:f>
        <x:v>1088.6914452096953</x:v>
      </x:c>
      <x:c r="N31" s="53" t="n">
        <x:f>M31/(1+'Hypothèses'!$B$9)*(1-'Hypothèses'!$B$10)</x:f>
        <x:v>771.1564403568675</x:v>
      </x:c>
      <x:c r="O31" s="53" t="n">
        <x:f>(MAX(MIN(E31-'Hypothèses'!$B$24,'Hypothèses'!$B$25-'Hypothèses'!$B$24),0)/1000*'Hypothèses'!$B$26+MAX(MIN(E31-'Hypothèses'!$B$25,'Hypothèses'!$B$27-'Hypothèses'!$B$25),0)/1000*'Hypothèses'!$B$28+MAX(E31-'Hypothèses'!$B$27,0)/1000*'Hypothèses'!$B$29)*'Hypothèses'!$B$30</x:f>
        <x:v>0</x:v>
      </x:c>
      <x:c r="P31" s="53" t="n">
        <x:f>IF(A31&gt;='Hypothèses'!$B$12,'Hypothèses'!$B$15,0)+L31*'Hypothèses'!$B$16</x:f>
        <x:v>32.16843250494556</x:v>
      </x:c>
      <x:c r="Q31" s="53" t="n">
        <x:f>MAX(N31*'Hypothèses'!$B$17,'Hypothèses'!$B$18)+'Acquisition'!$C$31</x:f>
        <x:v>300</x:v>
      </x:c>
      <x:c r="R31" s="53" t="n">
        <x:f>'Hypothèses'!$B$23</x:f>
        <x:v>400</x:v>
      </x:c>
      <x:c r="S31" s="53" t="n">
        <x:f>'Hypothèses'!$B$19</x:f>
        <x:v>200</x:v>
      </x:c>
      <x:c r="T31" s="53" t="n">
        <x:f>'Hypothèses'!$B$20</x:f>
        <x:v>100</x:v>
      </x:c>
      <x:c r="U31" s="53" t="n">
        <x:f>'Hypothèses'!$B$45</x:f>
        <x:v>2000</x:v>
      </x:c>
      <x:c r="V31" s="53" t="n">
        <x:f>N31-SUM(O31:T31)-Z31</x:f>
        <x:v>-261.011992148078</x:v>
      </x:c>
      <x:c r="W31" s="53" t="n">
        <x:f>SUM(O31:U31)+Z31</x:f>
        <x:v>3032.1684325049455</x:v>
      </x:c>
      <x:c r="X31" s="53" t="n">
        <x:f>N31-W31</x:f>
        <x:v>-2261.011992148078</x:v>
      </x:c>
      <x:c r="Y31" s="53" t="n">
        <x:f>Y30+X31</x:f>
        <x:v>-31523.51227453138</x:v>
      </x:c>
      <x:c r="Z31" t="n">
        <x:f>IF(M31&gt;='Hypothèses'!$B$31*'Hypothèses'!$B$30,M31*'Hypothèses'!$B$32,0)</x:f>
        <x:v>0</x:v>
      </x:c>
    </x:row>
    <x:row r="32">
      <x:c r="A32" s="50" t="n">
        <x:v>29</x:v>
      </x:c>
      <x:c r="B32" s="51" t="n">
        <x:v>47239</x:v>
      </x:c>
      <x:c r="C32" s="113" t="n">
        <x:f>'Acquisition'!$F$32</x:f>
        <x:v>3023.3137564822428</x:v>
      </x:c>
      <x:c r="D32" s="52" t="n">
        <x:f>SUM($C$4:C32)</x:f>
        <x:v>57179.594364298115</x:v>
      </x:c>
      <x:c r="E32" s="52" t="n">
        <x:f>C4*'Cohortes MAU'!$D$32+C5*'Cohortes MAU'!$D$31+C6*'Cohortes MAU'!$D$30+C7*'Cohortes MAU'!$D$29+C8*'Cohortes MAU'!$D$28+C9*'Cohortes MAU'!$D$27+C10*'Cohortes MAU'!$D$26+C11*'Cohortes MAU'!$D$25+C12*'Cohortes MAU'!$D$24+C13*'Cohortes MAU'!$D$23+C14*'Cohortes MAU'!$D$22+C15*'Cohortes MAU'!$D$21+C16*'Cohortes MAU'!$D$20+C17*'Cohortes MAU'!$D$19+C18*'Cohortes MAU'!$D$18+C19*'Cohortes MAU'!$D$17+C20*'Cohortes MAU'!$D$16+C21*'Cohortes MAU'!$D$15+C22*'Cohortes MAU'!$D$14+C23*'Cohortes MAU'!$D$13+C24*'Cohortes MAU'!$D$12+C25*'Cohortes MAU'!$D$11+C26*'Cohortes MAU'!$D$10+C27*'Cohortes MAU'!$D$9+C28*'Cohortes MAU'!$D$8+C29*'Cohortes MAU'!$D$7+C30*'Cohortes MAU'!$D$6+C31*'Cohortes MAU'!$D$5+C32*'Cohortes MAU'!$D$4</x:f>
        <x:v>11435.918872859618</x:v>
      </x:c>
      <x:c r="F32" s="52" t="n">
        <x:f>C30*'Hypothèses'!$B$39</x:f>
        <x:v>43.588721979271085</x:v>
      </x:c>
      <x:c r="G32" s="52" t="n">
        <x:f>SUM($F$4:F32)</x:f>
        <x:v>767.8837126983813</x:v>
      </x:c>
      <x:c r="H32" s="52" t="n">
        <x:f>C29*'Hypothèses'!$B$40</x:f>
        <x:v>5.6978721541530835</x:v>
      </x:c>
      <x:c r="I32" s="52" t="n">
        <x:f>G31*('Hypothèses'!$B$41/12)</x:f>
        <x:v>0.6035791589325918</x:v>
      </x:c>
      <x:c r="J32" s="52" t="n">
        <x:f>(H20+J20)*'Hypothèses'!$B$42</x:f>
        <x:v>1.8499030497386058</x:v>
      </x:c>
      <x:c r="K32" s="52" t="n">
        <x:f>(I20+K20)*'Hypothèses'!$B$42</x:f>
        <x:v>0.12216114064138849</x:v>
      </x:c>
      <x:c r="L32" s="52" t="n">
        <x:f>SUM(H21:K32)</x:f>
        <x:v>76.01371217216126</x:v>
      </x:c>
      <x:c r="M32" s="53" t="n">
        <x:f>F32*'Hypothèses'!$B$6+H32*'Hypothèses'!$B$7+I32*'Hypothèses'!$B$8+J32*'Hypothèses'!$B$7+K32*'Hypothèses'!$B$8</x:f>
        <x:v>1112.2038793188246</x:v>
      </x:c>
      <x:c r="N32" s="53" t="n">
        <x:f>M32/(1+'Hypothèses'!$B$9)*(1-'Hypothèses'!$B$10)</x:f>
        <x:v>787.8110811841675</x:v>
      </x:c>
      <x:c r="O32" s="53" t="n">
        <x:f>(MAX(MIN(E32-'Hypothèses'!$B$24,'Hypothèses'!$B$25-'Hypothèses'!$B$24),0)/1000*'Hypothèses'!$B$26+MAX(MIN(E32-'Hypothèses'!$B$25,'Hypothèses'!$B$27-'Hypothèses'!$B$25),0)/1000*'Hypothèses'!$B$28+MAX(E32-'Hypothèses'!$B$27,0)/1000*'Hypothèses'!$B$29)*'Hypothèses'!$B$30</x:f>
        <x:v>0</x:v>
      </x:c>
      <x:c r="P32" s="53" t="n">
        <x:f>IF(A32&gt;='Hypothèses'!$B$12,'Hypothèses'!$B$15,0)+L32*'Hypothèses'!$B$16</x:f>
        <x:v>32.601371217216126</x:v>
      </x:c>
      <x:c r="Q32" s="53" t="n">
        <x:f>MAX(N32*'Hypothèses'!$B$17,'Hypothèses'!$B$18)+'Acquisition'!$C$32</x:f>
        <x:v>300</x:v>
      </x:c>
      <x:c r="R32" s="53" t="n">
        <x:f>'Hypothèses'!$B$23</x:f>
        <x:v>400</x:v>
      </x:c>
      <x:c r="S32" s="53" t="n">
        <x:f>'Hypothèses'!$B$19</x:f>
        <x:v>200</x:v>
      </x:c>
      <x:c r="T32" s="53" t="n">
        <x:f>'Hypothèses'!$B$20</x:f>
        <x:v>100</x:v>
      </x:c>
      <x:c r="U32" s="53" t="n">
        <x:f>'Hypothèses'!$B$45</x:f>
        <x:v>2000</x:v>
      </x:c>
      <x:c r="V32" s="53" t="n">
        <x:f>N32-SUM(O32:T32)-Z32</x:f>
        <x:v>-244.79029003304868</x:v>
      </x:c>
      <x:c r="W32" s="53" t="n">
        <x:f>SUM(O32:U32)+Z32</x:f>
        <x:v>3032.601371217216</x:v>
      </x:c>
      <x:c r="X32" s="53" t="n">
        <x:f>N32-W32</x:f>
        <x:v>-2244.7902900330487</x:v>
      </x:c>
      <x:c r="Y32" s="53" t="n">
        <x:f>Y31+X32</x:f>
        <x:v>-33768.30256456443</x:v>
      </x:c>
      <x:c r="Z32" t="n">
        <x:f>IF(M32&gt;='Hypothèses'!$B$31*'Hypothèses'!$B$30,M32*'Hypothèses'!$B$32,0)</x:f>
        <x:v>0</x:v>
      </x:c>
    </x:row>
    <x:row r="33">
      <x:c r="A33" s="50" t="n">
        <x:v>30</x:v>
      </x:c>
      <x:c r="B33" s="51" t="n">
        <x:v>47270</x:v>
      </x:c>
      <x:c r="C33" s="113" t="n">
        <x:f>'Acquisition'!$F$33</x:f>
        <x:v>3083.780031611888</x:v>
      </x:c>
      <x:c r="D33" s="52" t="n">
        <x:f>SUM($C$4:C33)</x:f>
        <x:v>60263.37439591</x:v>
      </x:c>
      <x:c r="E33" s="52" t="n">
        <x:f>C4*'Cohortes MAU'!$D$33+C5*'Cohortes MAU'!$D$32+C6*'Cohortes MAU'!$D$31+C7*'Cohortes MAU'!$D$30+C8*'Cohortes MAU'!$D$29+C9*'Cohortes MAU'!$D$28+C10*'Cohortes MAU'!$D$27+C11*'Cohortes MAU'!$D$26+C12*'Cohortes MAU'!$D$25+C13*'Cohortes MAU'!$D$24+C14*'Cohortes MAU'!$D$23+C15*'Cohortes MAU'!$D$22+C16*'Cohortes MAU'!$D$21+C17*'Cohortes MAU'!$D$20+C18*'Cohortes MAU'!$D$19+C19*'Cohortes MAU'!$D$18+C20*'Cohortes MAU'!$D$17+C21*'Cohortes MAU'!$D$16+C22*'Cohortes MAU'!$D$15+C23*'Cohortes MAU'!$D$14+C24*'Cohortes MAU'!$D$13+C25*'Cohortes MAU'!$D$12+C26*'Cohortes MAU'!$D$11+C27*'Cohortes MAU'!$D$10+C28*'Cohortes MAU'!$D$9+C29*'Cohortes MAU'!$D$8+C30*'Cohortes MAU'!$D$7+C31*'Cohortes MAU'!$D$6+C32*'Cohortes MAU'!$D$5+C33*'Cohortes MAU'!$D$4</x:f>
        <x:v>12052.674879181995</x:v>
      </x:c>
      <x:c r="F33" s="52" t="n">
        <x:f>C31*'Hypothèses'!$B$39</x:f>
        <x:v>44.46049641885651</x:v>
      </x:c>
      <x:c r="G33" s="52" t="n">
        <x:f>SUM($F$4:F33)</x:f>
        <x:v>812.3442091172378</x:v>
      </x:c>
      <x:c r="H33" s="52" t="n">
        <x:f>C30*'Hypothèses'!$B$40</x:f>
        <x:v>5.8118295972361445</x:v>
      </x:c>
      <x:c r="I33" s="52" t="n">
        <x:f>G32*('Hypothèses'!$B$41/12)</x:f>
        <x:v>0.6399030939153177</x:v>
      </x:c>
      <x:c r="J33" s="52" t="n">
        <x:f>(H21+J21)*'Hypothèses'!$B$42</x:f>
        <x:v>1.92389917172815</x:v>
      </x:c>
      <x:c r="K33" s="52" t="n">
        <x:f>(I21+K21)*'Hypothèses'!$B$42</x:f>
        <x:v>0.13418551046468943</x:v>
      </x:c>
      <x:c r="L33" s="52" t="n">
        <x:f>SUM(H22:K33)</x:f>
        <x:v>80.40736018111988</x:v>
      </x:c>
      <x:c r="M33" s="53" t="n">
        <x:f>F33*'Hypothèses'!$B$6+H33*'Hypothèses'!$B$7+I33*'Hypothèses'!$B$8+J33*'Hypothèses'!$B$7+K33*'Hypothèses'!$B$8</x:f>
        <x:v>1136.233860395737</x:v>
      </x:c>
      <x:c r="N33" s="53" t="n">
        <x:f>M33/(1+'Hypothèses'!$B$9)*(1-'Hypothèses'!$B$10)</x:f>
        <x:v>804.8323177803138</x:v>
      </x:c>
      <x:c r="O33" s="53" t="n">
        <x:f>(MAX(MIN(E33-'Hypothèses'!$B$24,'Hypothèses'!$B$25-'Hypothèses'!$B$24),0)/1000*'Hypothèses'!$B$26+MAX(MIN(E33-'Hypothèses'!$B$25,'Hypothèses'!$B$27-'Hypothèses'!$B$25),0)/1000*'Hypothèses'!$B$28+MAX(E33-'Hypothèses'!$B$27,0)/1000*'Hypothèses'!$B$29)*'Hypothèses'!$B$30</x:f>
        <x:v>0</x:v>
      </x:c>
      <x:c r="P33" s="53" t="n">
        <x:f>IF(A33&gt;='Hypothèses'!$B$12,'Hypothèses'!$B$15,0)+L33*'Hypothèses'!$B$16</x:f>
        <x:v>33.040736018111986</x:v>
      </x:c>
      <x:c r="Q33" s="53" t="n">
        <x:f>MAX(N33*'Hypothèses'!$B$17,'Hypothèses'!$B$18)+'Acquisition'!$C$33</x:f>
        <x:v>300</x:v>
      </x:c>
      <x:c r="R33" s="53" t="n">
        <x:f>'Hypothèses'!$B$23</x:f>
        <x:v>400</x:v>
      </x:c>
      <x:c r="S33" s="53" t="n">
        <x:f>'Hypothèses'!$B$19</x:f>
        <x:v>200</x:v>
      </x:c>
      <x:c r="T33" s="53" t="n">
        <x:f>'Hypothèses'!$B$20</x:f>
        <x:v>100</x:v>
      </x:c>
      <x:c r="U33" s="53" t="n">
        <x:f>'Hypothèses'!$B$45</x:f>
        <x:v>2000</x:v>
      </x:c>
      <x:c r="V33" s="53" t="n">
        <x:f>N33-SUM(O33:T33)-Z33</x:f>
        <x:v>-228.20841823779824</x:v>
      </x:c>
      <x:c r="W33" s="53" t="n">
        <x:f>SUM(O33:U33)+Z33</x:f>
        <x:v>3033.040736018112</x:v>
      </x:c>
      <x:c r="X33" s="53" t="n">
        <x:f>N33-W33</x:f>
        <x:v>-2228.2084182377985</x:v>
      </x:c>
      <x:c r="Y33" s="53" t="n">
        <x:f>Y32+X33</x:f>
        <x:v>-35996.510982802225</x:v>
      </x:c>
      <x:c r="Z33" t="n">
        <x:f>IF(M33&gt;='Hypothèses'!$B$31*'Hypothèses'!$B$30,M33*'Hypothèses'!$B$32,0)</x:f>
        <x:v>0</x:v>
      </x:c>
    </x:row>
    <x:row r="34">
      <x:c r="A34" s="50" t="n">
        <x:v>31</x:v>
      </x:c>
      <x:c r="B34" s="51" t="n">
        <x:v>47300</x:v>
      </x:c>
      <x:c r="C34" s="113" t="n">
        <x:f>'Acquisition'!$F$34</x:f>
        <x:v>3145.455632244126</x:v>
      </x:c>
      <x:c r="D34" s="52" t="n">
        <x:f>SUM($C$4:C34)</x:f>
        <x:v>63408.83002815413</x:v>
      </x:c>
      <x:c r="E34" s="52" t="n">
        <x:f>C4*'Cohortes MAU'!$D$34+C5*'Cohortes MAU'!$D$33+C6*'Cohortes MAU'!$D$32+C7*'Cohortes MAU'!$D$31+C8*'Cohortes MAU'!$D$30+C9*'Cohortes MAU'!$D$29+C10*'Cohortes MAU'!$D$28+C11*'Cohortes MAU'!$D$27+C12*'Cohortes MAU'!$D$26+C13*'Cohortes MAU'!$D$25+C14*'Cohortes MAU'!$D$24+C15*'Cohortes MAU'!$D$23+C16*'Cohortes MAU'!$D$22+C17*'Cohortes MAU'!$D$21+C18*'Cohortes MAU'!$D$20+C19*'Cohortes MAU'!$D$19+C20*'Cohortes MAU'!$D$18+C21*'Cohortes MAU'!$D$17+C22*'Cohortes MAU'!$D$16+C23*'Cohortes MAU'!$D$15+C24*'Cohortes MAU'!$D$14+C25*'Cohortes MAU'!$D$13+C26*'Cohortes MAU'!$D$12+C27*'Cohortes MAU'!$D$11+C28*'Cohortes MAU'!$D$10+C29*'Cohortes MAU'!$D$9+C30*'Cohortes MAU'!$D$8+C31*'Cohortes MAU'!$D$7+C32*'Cohortes MAU'!$D$6+C33*'Cohortes MAU'!$D$5+C34*'Cohortes MAU'!$D$4</x:f>
        <x:v>12681.766005630821</x:v>
      </x:c>
      <x:c r="F34" s="52" t="n">
        <x:f>C32*'Hypothèses'!$B$39</x:f>
        <x:v>45.34970634723364</x:v>
      </x:c>
      <x:c r="G34" s="52" t="n">
        <x:f>SUM($F$4:F34)</x:f>
        <x:v>857.6939154644715</x:v>
      </x:c>
      <x:c r="H34" s="52" t="n">
        <x:f>C31*'Hypothèses'!$B$40</x:f>
        <x:v>5.928066189180868</x:v>
      </x:c>
      <x:c r="I34" s="52" t="n">
        <x:f>G33*('Hypothèses'!$B$41/12)</x:f>
        <x:v>0.6769535075976982</x:v>
      </x:c>
      <x:c r="J34" s="52" t="n">
        <x:f>(H22+J22)*'Hypothèses'!$B$42</x:f>
        <x:v>2.000855138597276</x:v>
      </x:c>
      <x:c r="K34" s="52" t="n">
        <x:f>(I22+K22)*'Hypothèses'!$B$42</x:f>
        <x:v>0.14669085508092242</x:v>
      </x:c>
      <x:c r="L34" s="52" t="n">
        <x:f>SUM(H23:K34)</x:f>
        <x:v>84.86483388422025</x:v>
      </x:c>
      <x:c r="M34" s="53" t="n">
        <x:f>F34*'Hypothèses'!$B$6+H34*'Hypothèses'!$B$7+I34*'Hypothèses'!$B$8+J34*'Hypothèses'!$B$7+K34*'Hypothèses'!$B$8</x:f>
        <x:v>1160.7936313112125</x:v>
      </x:c>
      <x:c r="N34" s="53" t="n">
        <x:f>M34/(1+'Hypothèses'!$B$9)*(1-'Hypothèses'!$B$10)</x:f>
        <x:v>822.2288221787755</x:v>
      </x:c>
      <x:c r="O34" s="53" t="n">
        <x:f>(MAX(MIN(E34-'Hypothèses'!$B$24,'Hypothèses'!$B$25-'Hypothèses'!$B$24),0)/1000*'Hypothèses'!$B$26+MAX(MIN(E34-'Hypothèses'!$B$25,'Hypothèses'!$B$27-'Hypothèses'!$B$25),0)/1000*'Hypothèses'!$B$28+MAX(E34-'Hypothèses'!$B$27,0)/1000*'Hypothèses'!$B$29)*'Hypothèses'!$B$30</x:f>
        <x:v>0</x:v>
      </x:c>
      <x:c r="P34" s="53" t="n">
        <x:f>IF(A34&gt;='Hypothèses'!$B$12,'Hypothèses'!$B$15,0)+L34*'Hypothèses'!$B$16</x:f>
        <x:v>33.48648338842202</x:v>
      </x:c>
      <x:c r="Q34" s="53" t="n">
        <x:f>MAX(N34*'Hypothèses'!$B$17,'Hypothèses'!$B$18)+'Acquisition'!$C$34</x:f>
        <x:v>300</x:v>
      </x:c>
      <x:c r="R34" s="53" t="n">
        <x:f>'Hypothèses'!$B$23</x:f>
        <x:v>400</x:v>
      </x:c>
      <x:c r="S34" s="53" t="n">
        <x:f>'Hypothèses'!$B$19</x:f>
        <x:v>200</x:v>
      </x:c>
      <x:c r="T34" s="53" t="n">
        <x:f>'Hypothèses'!$B$20</x:f>
        <x:v>100</x:v>
      </x:c>
      <x:c r="U34" s="53" t="n">
        <x:f>'Hypothèses'!$B$45</x:f>
        <x:v>2000</x:v>
      </x:c>
      <x:c r="V34" s="53" t="n">
        <x:f>N34-SUM(O34:T34)-Z34</x:f>
        <x:v>-211.25766120964659</x:v>
      </x:c>
      <x:c r="W34" s="53" t="n">
        <x:f>SUM(O34:U34)+Z34</x:f>
        <x:v>3033.486483388422</x:v>
      </x:c>
      <x:c r="X34" s="53" t="n">
        <x:f>N34-W34</x:f>
        <x:v>-2211.2576612096464</x:v>
      </x:c>
      <x:c r="Y34" s="53" t="n">
        <x:f>Y33+X34</x:f>
        <x:v>-38207.76864401187</x:v>
      </x:c>
      <x:c r="Z34" t="n">
        <x:f>IF(M34&gt;='Hypothèses'!$B$31*'Hypothèses'!$B$30,M34*'Hypothèses'!$B$32,0)</x:f>
        <x:v>0</x:v>
      </x:c>
    </x:row>
    <x:row r="35">
      <x:c r="A35" s="50" t="n">
        <x:v>32</x:v>
      </x:c>
      <x:c r="B35" s="51" t="n">
        <x:v>47331</x:v>
      </x:c>
      <x:c r="C35" s="113" t="n">
        <x:f>'Acquisition'!$F$35</x:f>
        <x:v>3208.3647448890083</x:v>
      </x:c>
      <x:c r="D35" s="52" t="n">
        <x:f>SUM($C$4:C35)</x:f>
        <x:v>66617.19477304314</x:v>
      </x:c>
      <x:c r="E35" s="52" t="n">
        <x:f>C4*'Cohortes MAU'!$D$35+C5*'Cohortes MAU'!$D$34+C6*'Cohortes MAU'!$D$33+C7*'Cohortes MAU'!$D$32+C8*'Cohortes MAU'!$D$31+C9*'Cohortes MAU'!$D$30+C10*'Cohortes MAU'!$D$29+C11*'Cohortes MAU'!$D$28+C12*'Cohortes MAU'!$D$27+C13*'Cohortes MAU'!$D$26+C14*'Cohortes MAU'!$D$25+C15*'Cohortes MAU'!$D$24+C16*'Cohortes MAU'!$D$23+C17*'Cohortes MAU'!$D$22+C18*'Cohortes MAU'!$D$21+C19*'Cohortes MAU'!$D$20+C20*'Cohortes MAU'!$D$19+C21*'Cohortes MAU'!$D$18+C22*'Cohortes MAU'!$D$17+C23*'Cohortes MAU'!$D$16+C24*'Cohortes MAU'!$D$15+C25*'Cohortes MAU'!$D$14+C26*'Cohortes MAU'!$D$13+C27*'Cohortes MAU'!$D$12+C28*'Cohortes MAU'!$D$11+C29*'Cohortes MAU'!$D$10+C30*'Cohortes MAU'!$D$9+C31*'Cohortes MAU'!$D$8+C32*'Cohortes MAU'!$D$7+C33*'Cohortes MAU'!$D$6+C34*'Cohortes MAU'!$D$5+C35*'Cohortes MAU'!$D$4</x:f>
        <x:v>13323.438954608624</x:v>
      </x:c>
      <x:c r="F35" s="52" t="n">
        <x:f>C33*'Hypothèses'!$B$39</x:f>
        <x:v>46.25670047417832</x:v>
      </x:c>
      <x:c r="G35" s="52" t="n">
        <x:f>SUM($F$4:F35)</x:f>
        <x:v>903.9506159386498</x:v>
      </x:c>
      <x:c r="H35" s="52" t="n">
        <x:f>C32*'Hypothèses'!$B$40</x:f>
        <x:v>6.046627512964486</x:v>
      </x:c>
      <x:c r="I35" s="52" t="n">
        <x:f>G34*('Hypothèses'!$B$41/12)</x:f>
        <x:v>0.7147449295537263</x:v>
      </x:c>
      <x:c r="J35" s="52" t="n">
        <x:f>(H23+J23)*'Hypothèses'!$B$42</x:f>
        <x:v>2.080889344141167</x:v>
      </x:c>
      <x:c r="K35" s="52" t="n">
        <x:f>(I23+K23)*'Hypothèses'!$B$42</x:f>
        <x:v>0.15969641348180472</x:v>
      </x:c>
      <x:c r="L35" s="52" t="n">
        <x:f>SUM(H24:K35)</x:f>
        <x:v>89.38562056911553</x:v>
      </x:c>
      <x:c r="M35" s="53" t="n">
        <x:f>F35*'Hypothèses'!$B$6+H35*'Hypothèses'!$B$7+I35*'Hypothèses'!$B$8+J35*'Hypothèses'!$B$7+K35*'Hypothèses'!$B$8</x:f>
        <x:v>1185.8957554707033</x:v>
      </x:c>
      <x:c r="N35" s="53" t="n">
        <x:f>M35/(1+'Hypothèses'!$B$9)*(1-'Hypothèses'!$B$10)</x:f>
        <x:v>840.0094934584149</x:v>
      </x:c>
      <x:c r="O35" s="53" t="n">
        <x:f>(MAX(MIN(E35-'Hypothèses'!$B$24,'Hypothèses'!$B$25-'Hypothèses'!$B$24),0)/1000*'Hypothèses'!$B$26+MAX(MIN(E35-'Hypothèses'!$B$25,'Hypothèses'!$B$27-'Hypothèses'!$B$25),0)/1000*'Hypothèses'!$B$28+MAX(E35-'Hypothèses'!$B$27,0)/1000*'Hypothèses'!$B$29)*'Hypothèses'!$B$30</x:f>
        <x:v>0</x:v>
      </x:c>
      <x:c r="P35" s="53" t="n">
        <x:f>IF(A35&gt;='Hypothèses'!$B$12,'Hypothèses'!$B$15,0)+L35*'Hypothèses'!$B$16</x:f>
        <x:v>33.93856205691155</x:v>
      </x:c>
      <x:c r="Q35" s="53" t="n">
        <x:f>MAX(N35*'Hypothèses'!$B$17,'Hypothèses'!$B$18)+'Acquisition'!$C$35</x:f>
        <x:v>300</x:v>
      </x:c>
      <x:c r="R35" s="53" t="n">
        <x:f>'Hypothèses'!$B$23</x:f>
        <x:v>400</x:v>
      </x:c>
      <x:c r="S35" s="53" t="n">
        <x:f>'Hypothèses'!$B$19</x:f>
        <x:v>200</x:v>
      </x:c>
      <x:c r="T35" s="53" t="n">
        <x:f>'Hypothèses'!$B$20</x:f>
        <x:v>100</x:v>
      </x:c>
      <x:c r="U35" s="53" t="n">
        <x:f>'Hypothèses'!$B$45</x:f>
        <x:v>2000</x:v>
      </x:c>
      <x:c r="V35" s="53" t="n">
        <x:f>N35-SUM(O35:T35)-Z35</x:f>
        <x:v>-193.92906859849654</x:v>
      </x:c>
      <x:c r="W35" s="53" t="n">
        <x:f>SUM(O35:U35)+Z35</x:f>
        <x:v>3033.9385620569115</x:v>
      </x:c>
      <x:c r="X35" s="53" t="n">
        <x:f>N35-W35</x:f>
        <x:v>-2193.9290685984965</x:v>
      </x:c>
      <x:c r="Y35" s="53" t="n">
        <x:f>Y34+X35</x:f>
        <x:v>-40401.69771261037</x:v>
      </x:c>
      <x:c r="Z35" t="n">
        <x:f>IF(M35&gt;='Hypothèses'!$B$31*'Hypothèses'!$B$30,M35*'Hypothèses'!$B$32,0)</x:f>
        <x:v>0</x:v>
      </x:c>
    </x:row>
    <x:row r="36">
      <x:c r="A36" s="50" t="n">
        <x:v>33</x:v>
      </x:c>
      <x:c r="B36" s="51" t="n">
        <x:v>47362</x:v>
      </x:c>
      <x:c r="C36" s="113" t="n">
        <x:f>'Acquisition'!$F$36</x:f>
        <x:v>3272.5320397867886</x:v>
      </x:c>
      <x:c r="D36" s="52" t="n">
        <x:f>SUM($C$4:C36)</x:f>
        <x:v>69889.72681282993</x:v>
      </x:c>
      <x:c r="E36" s="52" t="n">
        <x:f>C4*'Cohortes MAU'!$D$36+C5*'Cohortes MAU'!$D$35+C6*'Cohortes MAU'!$D$34+C7*'Cohortes MAU'!$D$33+C8*'Cohortes MAU'!$D$32+C9*'Cohortes MAU'!$D$31+C10*'Cohortes MAU'!$D$30+C11*'Cohortes MAU'!$D$29+C12*'Cohortes MAU'!$D$28+C13*'Cohortes MAU'!$D$27+C14*'Cohortes MAU'!$D$26+C15*'Cohortes MAU'!$D$25+C16*'Cohortes MAU'!$D$24+C17*'Cohortes MAU'!$D$23+C18*'Cohortes MAU'!$D$22+C19*'Cohortes MAU'!$D$21+C20*'Cohortes MAU'!$D$20+C21*'Cohortes MAU'!$D$19+C22*'Cohortes MAU'!$D$18+C23*'Cohortes MAU'!$D$17+C24*'Cohortes MAU'!$D$16+C25*'Cohortes MAU'!$D$15+C26*'Cohortes MAU'!$D$14+C27*'Cohortes MAU'!$D$13+C28*'Cohortes MAU'!$D$12+C29*'Cohortes MAU'!$D$11+C30*'Cohortes MAU'!$D$10+C31*'Cohortes MAU'!$D$9+C32*'Cohortes MAU'!$D$8+C33*'Cohortes MAU'!$D$7+C34*'Cohortes MAU'!$D$6+C35*'Cohortes MAU'!$D$5+C36*'Cohortes MAU'!$D$4</x:f>
        <x:v>13977.945362565983</x:v>
      </x:c>
      <x:c r="F36" s="52" t="n">
        <x:f>C34*'Hypothèses'!$B$39</x:f>
        <x:v>47.18183448366189</x:v>
      </x:c>
      <x:c r="G36" s="52" t="n">
        <x:f>SUM($F$4:F36)</x:f>
        <x:v>951.1324504223116</x:v>
      </x:c>
      <x:c r="H36" s="52" t="n">
        <x:f>C33*'Hypothèses'!$B$40</x:f>
        <x:v>6.1675600632237755</x:v>
      </x:c>
      <x:c r="I36" s="52" t="n">
        <x:f>G35*('Hypothèses'!$B$41/12)</x:f>
        <x:v>0.7532921799488749</x:v>
      </x:c>
      <x:c r="J36" s="52" t="n">
        <x:f>(H24+J24)*'Hypothèses'!$B$42</x:f>
        <x:v>2.164124917906814</x:v>
      </x:c>
      <x:c r="K36" s="52" t="n">
        <x:f>(I24+K24)*'Hypothèses'!$B$42</x:f>
        <x:v>0.1732221942187223</x:v>
      </x:c>
      <x:c r="L36" s="52" t="n">
        <x:f>SUM(H25:K36)</x:f>
        <x:v>93.96912570016265</x:v>
      </x:c>
      <x:c r="M36" s="53" t="n">
        <x:f>F36*'Hypothèses'!$B$6+H36*'Hypothèses'!$B$7+I36*'Hypothèses'!$B$8+J36*'Hypothèses'!$B$7+K36*'Hypothèses'!$B$8</x:f>
        <x:v>1211.5531262521176</x:v>
      </x:c>
      <x:c r="N36" s="53" t="n">
        <x:f>M36/(1+'Hypothèses'!$B$9)*(1-'Hypothèses'!$B$10)</x:f>
        <x:v>858.1834644285833</x:v>
      </x:c>
      <x:c r="O36" s="53" t="n">
        <x:f>(MAX(MIN(E36-'Hypothèses'!$B$24,'Hypothèses'!$B$25-'Hypothèses'!$B$24),0)/1000*'Hypothèses'!$B$26+MAX(MIN(E36-'Hypothèses'!$B$25,'Hypothèses'!$B$27-'Hypothèses'!$B$25),0)/1000*'Hypothèses'!$B$28+MAX(E36-'Hypothèses'!$B$27,0)/1000*'Hypothèses'!$B$29)*'Hypothèses'!$B$30</x:f>
        <x:v>0</x:v>
      </x:c>
      <x:c r="P36" s="53" t="n">
        <x:f>IF(A36&gt;='Hypothèses'!$B$12,'Hypothèses'!$B$15,0)+L36*'Hypothèses'!$B$16</x:f>
        <x:v>34.39691257001627</x:v>
      </x:c>
      <x:c r="Q36" s="53" t="n">
        <x:f>MAX(N36*'Hypothèses'!$B$17,'Hypothèses'!$B$18)+'Acquisition'!$C$36</x:f>
        <x:v>300</x:v>
      </x:c>
      <x:c r="R36" s="53" t="n">
        <x:f>'Hypothèses'!$B$23</x:f>
        <x:v>400</x:v>
      </x:c>
      <x:c r="S36" s="53" t="n">
        <x:f>'Hypothèses'!$B$19</x:f>
        <x:v>200</x:v>
      </x:c>
      <x:c r="T36" s="53" t="n">
        <x:f>'Hypothèses'!$B$20</x:f>
        <x:v>100</x:v>
      </x:c>
      <x:c r="U36" s="53" t="n">
        <x:f>'Hypothèses'!$B$45</x:f>
        <x:v>2000</x:v>
      </x:c>
      <x:c r="V36" s="53" t="n">
        <x:f>N36-SUM(O36:T36)-Z36</x:f>
        <x:v>-176.2134481414331</x:v>
      </x:c>
      <x:c r="W36" s="53" t="n">
        <x:f>SUM(O36:U36)+Z36</x:f>
        <x:v>3034.3969125700164</x:v>
      </x:c>
      <x:c r="X36" s="53" t="n">
        <x:f>N36-W36</x:f>
        <x:v>-2176.213448141433</x:v>
      </x:c>
      <x:c r="Y36" s="53" t="n">
        <x:f>Y35+X36</x:f>
        <x:v>-42577.9111607518</x:v>
      </x:c>
      <x:c r="Z36" t="n">
        <x:f>IF(M36&gt;='Hypothèses'!$B$31*'Hypothèses'!$B$30,M36*'Hypothèses'!$B$32,0)</x:f>
        <x:v>0</x:v>
      </x:c>
    </x:row>
    <x:row r="37">
      <x:c r="A37" s="50" t="n">
        <x:v>34</x:v>
      </x:c>
      <x:c r="B37" s="51" t="n">
        <x:v>47392</x:v>
      </x:c>
      <x:c r="C37" s="113" t="n">
        <x:f>'Acquisition'!$F$37</x:f>
        <x:v>3337.9826805825246</x:v>
      </x:c>
      <x:c r="D37" s="52" t="n">
        <x:f>SUM($C$4:C37)</x:f>
        <x:v>73227.70949341246</x:v>
      </x:c>
      <x:c r="E37" s="52" t="n">
        <x:f>C4*'Cohortes MAU'!$D$37+C5*'Cohortes MAU'!$D$36+C6*'Cohortes MAU'!$D$35+C7*'Cohortes MAU'!$D$34+C8*'Cohortes MAU'!$D$33+C9*'Cohortes MAU'!$D$32+C10*'Cohortes MAU'!$D$31+C11*'Cohortes MAU'!$D$30+C12*'Cohortes MAU'!$D$29+C13*'Cohortes MAU'!$D$28+C14*'Cohortes MAU'!$D$27+C15*'Cohortes MAU'!$D$26+C16*'Cohortes MAU'!$D$25+C17*'Cohortes MAU'!$D$24+C18*'Cohortes MAU'!$D$23+C19*'Cohortes MAU'!$D$22+C20*'Cohortes MAU'!$D$21+C21*'Cohortes MAU'!$D$20+C22*'Cohortes MAU'!$D$19+C23*'Cohortes MAU'!$D$18+C24*'Cohortes MAU'!$D$17+C25*'Cohortes MAU'!$D$16+C26*'Cohortes MAU'!$D$15+C27*'Cohortes MAU'!$D$14+C28*'Cohortes MAU'!$D$13+C29*'Cohortes MAU'!$D$12+C30*'Cohortes MAU'!$D$11+C31*'Cohortes MAU'!$D$10+C32*'Cohortes MAU'!$D$9+C33*'Cohortes MAU'!$D$8+C34*'Cohortes MAU'!$D$7+C35*'Cohortes MAU'!$D$6+C36*'Cohortes MAU'!$D$5+C37*'Cohortes MAU'!$D$4</x:f>
        <x:v>14645.541898682488</x:v>
      </x:c>
      <x:c r="F37" s="52" t="n">
        <x:f>C35*'Hypothèses'!$B$39</x:f>
        <x:v>48.12547117333512</x:v>
      </x:c>
      <x:c r="G37" s="52" t="n">
        <x:f>SUM($F$4:F37)</x:f>
        <x:v>999.2579215956467</x:v>
      </x:c>
      <x:c r="H37" s="52" t="n">
        <x:f>C34*'Hypothèses'!$B$40</x:f>
        <x:v>6.290911264488252</x:v>
      </x:c>
      <x:c r="I37" s="52" t="n">
        <x:f>G36*('Hypothèses'!$B$41/12)</x:f>
        <x:v>0.7926103753519265</x:v>
      </x:c>
      <x:c r="J37" s="52" t="n">
        <x:f>(H25+J25)*'Hypothèses'!$B$42</x:f>
        <x:v>2.920737734935586</x:v>
      </x:c>
      <x:c r="K37" s="52" t="n">
        <x:f>(I25+K25)*'Hypothèses'!$B$42</x:f>
        <x:v>0.2127327826011322</x:v>
      </x:c>
      <x:c r="L37" s="52" t="n">
        <x:f>SUM(H26:K37)</x:f>
        <x:v>97.9191768224661</x:v>
      </x:c>
      <x:c r="M37" s="53" t="n">
        <x:f>F37*'Hypothèses'!$B$6+H37*'Hypothèses'!$B$7+I37*'Hypothèses'!$B$8+J37*'Hypothèses'!$B$7+K37*'Hypothèses'!$B$8</x:f>
        <x:v>1258.3823319751716</x:v>
      </x:c>
      <x:c r="N37" s="53" t="n">
        <x:f>M37/(1+'Hypothèses'!$B$9)*(1-'Hypothèses'!$B$10)</x:f>
        <x:v>891.3541518157465</x:v>
      </x:c>
      <x:c r="O37" s="53" t="n">
        <x:f>(MAX(MIN(E37-'Hypothèses'!$B$24,'Hypothèses'!$B$25-'Hypothèses'!$B$24),0)/1000*'Hypothèses'!$B$26+MAX(MIN(E37-'Hypothèses'!$B$25,'Hypothèses'!$B$27-'Hypothèses'!$B$25),0)/1000*'Hypothèses'!$B$28+MAX(E37-'Hypothèses'!$B$27,0)/1000*'Hypothèses'!$B$29)*'Hypothèses'!$B$30</x:f>
        <x:v>0</x:v>
      </x:c>
      <x:c r="P37" s="53" t="n">
        <x:f>IF(A37&gt;='Hypothèses'!$B$12,'Hypothèses'!$B$15,0)+L37*'Hypothèses'!$B$16</x:f>
        <x:v>34.79191768224661</x:v>
      </x:c>
      <x:c r="Q37" s="53" t="n">
        <x:f>MAX(N37*'Hypothèses'!$B$17,'Hypothèses'!$B$18)+'Acquisition'!$C$37</x:f>
        <x:v>300</x:v>
      </x:c>
      <x:c r="R37" s="53" t="n">
        <x:f>'Hypothèses'!$B$23</x:f>
        <x:v>400</x:v>
      </x:c>
      <x:c r="S37" s="53" t="n">
        <x:f>'Hypothèses'!$B$19</x:f>
        <x:v>200</x:v>
      </x:c>
      <x:c r="T37" s="53" t="n">
        <x:f>'Hypothèses'!$B$20</x:f>
        <x:v>100</x:v>
      </x:c>
      <x:c r="U37" s="53" t="n">
        <x:f>'Hypothèses'!$B$45</x:f>
        <x:v>2000</x:v>
      </x:c>
      <x:c r="V37" s="53" t="n">
        <x:f>N37-SUM(O37:T37)-Z37</x:f>
        <x:v>-143.43776586650006</x:v>
      </x:c>
      <x:c r="W37" s="53" t="n">
        <x:f>SUM(O37:U37)+Z37</x:f>
        <x:v>3034.7919176822465</x:v>
      </x:c>
      <x:c r="X37" s="53" t="n">
        <x:f>N37-W37</x:f>
        <x:v>-2143.4377658665</x:v>
      </x:c>
      <x:c r="Y37" s="53" t="n">
        <x:f>Y36+X37</x:f>
        <x:v>-44721.3489266183</x:v>
      </x:c>
      <x:c r="Z37" t="n">
        <x:f>IF(M37&gt;='Hypothèses'!$B$31*'Hypothèses'!$B$30,M37*'Hypothèses'!$B$32,0)</x:f>
        <x:v>0</x:v>
      </x:c>
    </x:row>
    <x:row r="38">
      <x:c r="A38" s="50" t="n">
        <x:v>35</x:v>
      </x:c>
      <x:c r="B38" s="51" t="n">
        <x:v>47423</x:v>
      </x:c>
      <x:c r="C38" s="113" t="n">
        <x:f>'Acquisition'!$F$38</x:f>
        <x:v>3404.7423341941753</x:v>
      </x:c>
      <x:c r="D38" s="52" t="n">
        <x:f>SUM($C$4:C38)</x:f>
        <x:v>76632.45182760664</x:v>
      </x:c>
      <x:c r="E38" s="52" t="n">
        <x:f>C4*'Cohortes MAU'!$D$38+C5*'Cohortes MAU'!$D$37+C6*'Cohortes MAU'!$D$36+C7*'Cohortes MAU'!$D$35+C8*'Cohortes MAU'!$D$34+C9*'Cohortes MAU'!$D$33+C10*'Cohortes MAU'!$D$32+C11*'Cohortes MAU'!$D$31+C12*'Cohortes MAU'!$D$30+C13*'Cohortes MAU'!$D$29+C14*'Cohortes MAU'!$D$28+C15*'Cohortes MAU'!$D$27+C16*'Cohortes MAU'!$D$26+C17*'Cohortes MAU'!$D$25+C18*'Cohortes MAU'!$D$24+C19*'Cohortes MAU'!$D$23+C20*'Cohortes MAU'!$D$22+C21*'Cohortes MAU'!$D$21+C22*'Cohortes MAU'!$D$20+C23*'Cohortes MAU'!$D$19+C24*'Cohortes MAU'!$D$18+C25*'Cohortes MAU'!$D$17+C26*'Cohortes MAU'!$D$16+C27*'Cohortes MAU'!$D$15+C28*'Cohortes MAU'!$D$14+C29*'Cohortes MAU'!$D$13+C30*'Cohortes MAU'!$D$12+C31*'Cohortes MAU'!$D$11+C32*'Cohortes MAU'!$D$10+C33*'Cohortes MAU'!$D$9+C34*'Cohortes MAU'!$D$8+C35*'Cohortes MAU'!$D$7+C36*'Cohortes MAU'!$D$6+C37*'Cohortes MAU'!$D$5+C38*'Cohortes MAU'!$D$4</x:f>
        <x:v>15326.490365521324</x:v>
      </x:c>
      <x:c r="F38" s="52" t="n">
        <x:f>C36*'Hypothèses'!$B$39</x:f>
        <x:v>49.08798059680183</x:v>
      </x:c>
      <x:c r="G38" s="52" t="n">
        <x:f>SUM($F$4:F38)</x:f>
        <x:v>1048.3459021924486</x:v>
      </x:c>
      <x:c r="H38" s="52" t="n">
        <x:f>C35*'Hypothèses'!$B$40</x:f>
        <x:v>6.4167294897780165</x:v>
      </x:c>
      <x:c r="I38" s="52" t="n">
        <x:f>G37*('Hypothèses'!$B$41/12)</x:f>
        <x:v>0.832714934663039</x:v>
      </x:c>
      <x:c r="J38" s="52" t="n">
        <x:f>(H26+J26)*'Hypothèses'!$B$42</x:f>
        <x:v>3.044267722536135</x:v>
      </x:c>
      <x:c r="K38" s="52" t="n">
        <x:f>(I26+K26)*'Hypothèses'!$B$42</x:f>
        <x:v>0.23175945586698302</x:v>
      </x:c>
      <x:c r="L38" s="52" t="n">
        <x:f>SUM(H27:K38)</x:f>
        <x:v>101.89259406850404</x:v>
      </x:c>
      <x:c r="M38" s="53" t="n">
        <x:f>F38*'Hypothèses'!$B$6+H38*'Hypothèses'!$B$7+I38*'Hypothèses'!$B$8+J38*'Hypothèses'!$B$7+K38*'Hypothèses'!$B$8</x:f>
        <x:v>1286.282881594065</x:v>
      </x:c>
      <x:c r="N38" s="53" t="n">
        <x:f>M38/(1+'Hypothèses'!$B$9)*(1-'Hypothèses'!$B$10)</x:f>
        <x:v>911.1170411291293</x:v>
      </x:c>
      <x:c r="O38" s="53" t="n">
        <x:f>(MAX(MIN(E38-'Hypothèses'!$B$24,'Hypothèses'!$B$25-'Hypothèses'!$B$24),0)/1000*'Hypothèses'!$B$26+MAX(MIN(E38-'Hypothèses'!$B$25,'Hypothèses'!$B$27-'Hypothèses'!$B$25),0)/1000*'Hypothèses'!$B$28+MAX(E38-'Hypothèses'!$B$27,0)/1000*'Hypothèses'!$B$29)*'Hypothèses'!$B$30</x:f>
        <x:v>0</x:v>
      </x:c>
      <x:c r="P38" s="53" t="n">
        <x:f>IF(A38&gt;='Hypothèses'!$B$12,'Hypothèses'!$B$15,0)+L38*'Hypothèses'!$B$16</x:f>
        <x:v>35.189259406850404</x:v>
      </x:c>
      <x:c r="Q38" s="53" t="n">
        <x:f>MAX(N38*'Hypothèses'!$B$17,'Hypothèses'!$B$18)+'Acquisition'!$C$38</x:f>
        <x:v>300</x:v>
      </x:c>
      <x:c r="R38" s="53" t="n">
        <x:f>'Hypothèses'!$B$23</x:f>
        <x:v>400</x:v>
      </x:c>
      <x:c r="S38" s="53" t="n">
        <x:f>'Hypothèses'!$B$19</x:f>
        <x:v>200</x:v>
      </x:c>
      <x:c r="T38" s="53" t="n">
        <x:f>'Hypothèses'!$B$20</x:f>
        <x:v>100</x:v>
      </x:c>
      <x:c r="U38" s="53" t="n">
        <x:f>'Hypothèses'!$B$45</x:f>
        <x:v>2000</x:v>
      </x:c>
      <x:c r="V38" s="53" t="n">
        <x:f>N38-SUM(O38:T38)-Z38</x:f>
        <x:v>-124.07221827772105</x:v>
      </x:c>
      <x:c r="W38" s="53" t="n">
        <x:f>SUM(O38:U38)+Z38</x:f>
        <x:v>3035.1892594068504</x:v>
      </x:c>
      <x:c r="X38" s="53" t="n">
        <x:f>N38-W38</x:f>
        <x:v>-2124.072218277721</x:v>
      </x:c>
      <x:c r="Y38" s="53" t="n">
        <x:f>Y37+X38</x:f>
        <x:v>-46845.42114489603</x:v>
      </x:c>
      <x:c r="Z38" t="n">
        <x:f>IF(M38&gt;='Hypothèses'!$B$31*'Hypothèses'!$B$30,M38*'Hypothèses'!$B$32,0)</x:f>
        <x:v>0</x:v>
      </x:c>
    </x:row>
    <x:row r="39">
      <x:c r="A39" s="50" t="n">
        <x:v>36</x:v>
      </x:c>
      <x:c r="B39" s="51" t="n">
        <x:v>47453</x:v>
      </x:c>
      <x:c r="C39" s="113" t="n">
        <x:f>'Acquisition'!$F$39</x:f>
        <x:v>3472.837180878059</x:v>
      </x:c>
      <x:c r="D39" s="52" t="n">
        <x:f>SUM($C$4:C39)</x:f>
        <x:v>80105.2890084847</x:v>
      </x:c>
      <x:c r="E39" s="52" t="n">
        <x:f>C4*'Cohortes MAU'!$D$39+C5*'Cohortes MAU'!$D$38+C6*'Cohortes MAU'!$D$37+C7*'Cohortes MAU'!$D$36+C8*'Cohortes MAU'!$D$35+C9*'Cohortes MAU'!$D$34+C10*'Cohortes MAU'!$D$33+C11*'Cohortes MAU'!$D$32+C12*'Cohortes MAU'!$D$31+C13*'Cohortes MAU'!$D$30+C14*'Cohortes MAU'!$D$29+C15*'Cohortes MAU'!$D$28+C16*'Cohortes MAU'!$D$27+C17*'Cohortes MAU'!$D$26+C18*'Cohortes MAU'!$D$25+C19*'Cohortes MAU'!$D$24+C20*'Cohortes MAU'!$D$23+C21*'Cohortes MAU'!$D$22+C22*'Cohortes MAU'!$D$21+C23*'Cohortes MAU'!$D$20+C24*'Cohortes MAU'!$D$19+C25*'Cohortes MAU'!$D$18+C26*'Cohortes MAU'!$D$17+C27*'Cohortes MAU'!$D$16+C28*'Cohortes MAU'!$D$15+C29*'Cohortes MAU'!$D$14+C30*'Cohortes MAU'!$D$13+C31*'Cohortes MAU'!$D$12+C32*'Cohortes MAU'!$D$11+C33*'Cohortes MAU'!$D$10+C34*'Cohortes MAU'!$D$9+C35*'Cohortes MAU'!$D$8+C36*'Cohortes MAU'!$D$7+C37*'Cohortes MAU'!$D$6+C38*'Cohortes MAU'!$D$5+C39*'Cohortes MAU'!$D$4</x:f>
        <x:v>16021.057801696936</x:v>
      </x:c>
      <x:c r="F39" s="52" t="n">
        <x:f>C37*'Hypothèses'!$B$39</x:f>
        <x:v>50.06974020873787</x:v>
      </x:c>
      <x:c r="G39" s="52" t="n">
        <x:f>SUM($F$4:F39)</x:f>
        <x:v>1098.4156424011865</x:v>
      </x:c>
      <x:c r="H39" s="52" t="n">
        <x:f>C36*'Hypothèses'!$B$40</x:f>
        <x:v>6.545064079573577</x:v>
      </x:c>
      <x:c r="I39" s="52" t="n">
        <x:f>G38*('Hypothèses'!$B$41/12)</x:f>
        <x:v>0.8736215851603739</x:v>
      </x:c>
      <x:c r="J39" s="52" t="n">
        <x:f>(H27+J27)*'Hypothèses'!$B$42</x:f>
        <x:v>3.173073933550862</x:v>
      </x:c>
      <x:c r="K39" s="52" t="n">
        <x:f>(I27+K27)*'Hypothèses'!$B$42</x:f>
        <x:v>0.2515911679516759</x:v>
      </x:c>
      <x:c r="L39" s="52" t="n">
        <x:f>SUM(H28:K39)</x:f>
        <x:v>105.88661463173545</x:v>
      </x:c>
      <x:c r="M39" s="53" t="n">
        <x:f>F39*'Hypothèses'!$B$6+H39*'Hypothèses'!$B$7+I39*'Hypothèses'!$B$8+J39*'Hypothèses'!$B$7+K39*'Hypothèses'!$B$8</x:f>
        <x:v>1314.8340687209818</x:v>
      </x:c>
      <x:c r="N39" s="53" t="n">
        <x:f>M39/(1+'Hypothèses'!$B$9)*(1-'Hypothèses'!$B$10)</x:f>
        <x:v>931.340798677362</x:v>
      </x:c>
      <x:c r="O39" s="53" t="n">
        <x:f>(MAX(MIN(E39-'Hypothèses'!$B$24,'Hypothèses'!$B$25-'Hypothèses'!$B$24),0)/1000*'Hypothèses'!$B$26+MAX(MIN(E39-'Hypothèses'!$B$25,'Hypothèses'!$B$27-'Hypothèses'!$B$25),0)/1000*'Hypothèses'!$B$28+MAX(E39-'Hypothèses'!$B$27,0)/1000*'Hypothèses'!$B$29)*'Hypothèses'!$B$30</x:f>
        <x:v>0</x:v>
      </x:c>
      <x:c r="P39" s="53" t="n">
        <x:f>IF(A39&gt;='Hypothèses'!$B$12,'Hypothèses'!$B$15,0)+L39*'Hypothèses'!$B$16</x:f>
        <x:v>35.588661463173544</x:v>
      </x:c>
      <x:c r="Q39" s="53" t="n">
        <x:f>MAX(N39*'Hypothèses'!$B$17,'Hypothèses'!$B$18)+'Acquisition'!$C$39</x:f>
        <x:v>300</x:v>
      </x:c>
      <x:c r="R39" s="53" t="n">
        <x:f>'Hypothèses'!$B$23</x:f>
        <x:v>400</x:v>
      </x:c>
      <x:c r="S39" s="53" t="n">
        <x:f>'Hypothèses'!$B$19</x:f>
        <x:v>200</x:v>
      </x:c>
      <x:c r="T39" s="53" t="n">
        <x:f>'Hypothèses'!$B$20</x:f>
        <x:v>100</x:v>
      </x:c>
      <x:c r="U39" s="53" t="n">
        <x:f>'Hypothèses'!$B$45</x:f>
        <x:v>2000</x:v>
      </x:c>
      <x:c r="V39" s="53" t="n">
        <x:f>N39-SUM(O39:T39)-Z39</x:f>
        <x:v>-104.24786278581155</x:v>
      </x:c>
      <x:c r="W39" s="53" t="n">
        <x:f>SUM(O39:U39)+Z39</x:f>
        <x:v>3035.5886614631736</x:v>
      </x:c>
      <x:c r="X39" s="53" t="n">
        <x:f>N39-W39</x:f>
        <x:v>-2104.247862785812</x:v>
      </x:c>
      <x:c r="Y39" s="53" t="n">
        <x:f>Y38+X39</x:f>
        <x:v>-48949.66900768184</x:v>
      </x:c>
      <x:c r="Z39" t="n">
        <x:f>IF(M39&gt;='Hypothèses'!$B$31*'Hypothèses'!$B$30,M39*'Hypothèses'!$B$32,0)</x:f>
        <x:v>0</x:v>
      </x:c>
    </x:row>
  </x:sheetData>
  <x:mergeCells>
    <x:mergeCell ref="A1:Y1"/>
  </x:mergeCells>
  <x:conditionalFormatting sqref="X4:X39">
    <x:cfRule type="cellIs" dxfId="0" priority="1" operator="lessThan">
      <x:formula>0</x:formula>
    </x:cfRule>
  </x:conditionalFormatting>
  <x:conditionalFormatting sqref="Y4:Y39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14" hidden="0" customWidth="1"/>
    <x:col min="4" max="4" width="17" hidden="0" customWidth="1"/>
    <x:col min="5" max="5" width="12" hidden="0" customWidth="1"/>
    <x:col min="6" max="6" width="12" hidden="0" customWidth="1"/>
    <x:col min="7" max="7" width="14" hidden="0" customWidth="1"/>
    <x:col min="8" max="8" width="17" hidden="0" customWidth="1"/>
    <x:col min="9" max="9" width="18" hidden="0" customWidth="1"/>
    <x:col min="10" max="10" width="17" hidden="0" customWidth="1"/>
    <x:col min="11" max="11" width="18" hidden="0" customWidth="1"/>
    <x:col min="12" max="12" width="13" hidden="0" customWidth="1"/>
    <x:col min="13" max="13" width="14" hidden="0" customWidth="1"/>
    <x:col min="14" max="14" width="18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4" hidden="0" customWidth="1"/>
    <x:col min="20" max="20" width="11" hidden="0" customWidth="1"/>
    <x:col min="21" max="21" width="13" hidden="0" customWidth="1"/>
    <x:col min="22" max="22" width="19" hidden="0" customWidth="1"/>
    <x:col min="23" max="23" width="13" hidden="0" customWidth="1"/>
    <x:col min="24" max="24" width="16" hidden="0" customWidth="1"/>
    <x:col min="25" max="25" width="16" hidden="0" customWidth="1"/>
  </x:cols>
  <x:sheetData>
    <x:row r="1">
      <x:c r="A1" s="3" t="str">
        <x:v>WHERIS — Prévisionnel 36 mois — Scénario Base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3">
      <x:c r="A3" s="34" t="str">
        <x:v>Mois</x:v>
      </x:c>
      <x:c r="B3" s="34" t="str">
        <x:v>Date</x:v>
      </x:c>
      <x:c r="C3" s="34" t="str">
        <x:v>Installations totales</x:v>
      </x:c>
      <x:c r="D3" s="34" t="str">
        <x:v>Installations cumulées</x:v>
      </x:c>
      <x:c r="E3" s="34" t="str">
        <x:v>MAU estimés</x:v>
      </x:c>
      <x:c r="F3" s="34" t="str">
        <x:v>Achats Plus</x:v>
      </x:c>
      <x:c r="G3" s="34" t="str">
        <x:v>Base Plus cumulée</x:v>
      </x:c>
      <x:c r="H3" s="34" t="str">
        <x:v>Premium direct — nouveaux</x:v>
      </x:c>
      <x:c r="I3" s="34" t="str">
        <x:v>Upgrade Plus→Premium</x:v>
      </x:c>
      <x:c r="J3" s="34" t="str">
        <x:v>Renouv. Premium direct</x:v>
      </x:c>
      <x:c r="K3" s="34" t="str">
        <x:v>Renouv. Premium upgrade</x:v>
      </x:c>
      <x:c r="L3" s="34" t="str">
        <x:v>Premium actifs</x:v>
      </x:c>
      <x:c r="M3" s="34" t="str">
        <x:v>CA brut TTC</x:v>
      </x:c>
      <x:c r="N3" s="34" t="str">
        <x:v>Revenu net HT après store</x:v>
      </x:c>
      <x:c r="O3" s="34" t="str">
        <x:v>Mapbox</x:v>
      </x:c>
      <x:c r="P3" s="34" t="str">
        <x:v>Cloud</x:v>
      </x:c>
      <x:c r="Q3" s="34" t="str">
        <x:v>Marketing</x:v>
      </x:c>
      <x:c r="R3" s="34" t="str">
        <x:v>Outils</x:v>
      </x:c>
      <x:c r="S3" s="34" t="str">
        <x:v>Compta / juridique</x:v>
      </x:c>
      <x:c r="T3" s="34" t="str">
        <x:v>Autres frais</x:v>
      </x:c>
      <x:c r="U3" s="34" t="str">
        <x:v>Coût fondateur</x:v>
      </x:c>
      <x:c r="V3" s="34" t="str">
        <x:v>Contribution produit avant fondateur</x:v>
      </x:c>
      <x:c r="W3" s="34" t="str">
        <x:v>OPEX total</x:v>
      </x:c>
      <x:c r="X3" s="34" t="str">
        <x:v>Résultat opérationnel</x:v>
      </x:c>
      <x:c r="Y3" s="34" t="str">
        <x:v>Trésorerie cumulée</x:v>
      </x:c>
      <x:c r="Z3" t="str">
        <x:v>RevenueCat</x:v>
      </x:c>
    </x:row>
    <x:row r="4">
      <x:c r="A4" s="50" t="n">
        <x:v>1</x:v>
      </x:c>
      <x:c r="B4" s="51" t="n">
        <x:v>46388</x:v>
      </x:c>
      <x:c r="C4" s="113" t="n">
        <x:f>'Acquisition'!$K$4</x:f>
        <x:v>2000</x:v>
      </x:c>
      <x:c r="D4" s="52" t="n">
        <x:f>SUM($C$4:C4)</x:f>
        <x:v>2000</x:v>
      </x:c>
      <x:c r="E4" s="52" t="n">
        <x:f>C4*'Cohortes MAU'!$D$4</x:f>
        <x:v>400</x:v>
      </x:c>
      <x:c r="F4" s="52" t="n">
        <x:v>0</x:v>
      </x:c>
      <x:c r="G4" s="52" t="n">
        <x:f>SUM($F$4:F4)</x:f>
        <x:v>0</x:v>
      </x:c>
      <x:c r="H4" s="52" t="n">
        <x:v>0</x:v>
      </x:c>
      <x:c r="I4" s="52" t="n">
        <x:v>0</x:v>
      </x:c>
      <x:c r="J4" s="52" t="n">
        <x:v>0</x:v>
      </x:c>
      <x:c r="K4" s="52" t="n">
        <x:v>0</x:v>
      </x:c>
      <x:c r="L4" s="52" t="n">
        <x:f>SUM(H4:K4)</x:f>
        <x:v>0</x:v>
      </x:c>
      <x:c r="M4" s="53" t="n">
        <x:f>F4*'Hypothèses'!$B$6+H4*'Hypothèses'!$B$7+I4*'Hypothèses'!$B$8+J4*'Hypothèses'!$B$7+K4*'Hypothèses'!$B$8</x:f>
        <x:v>0</x:v>
      </x:c>
      <x:c r="N4" s="53" t="n">
        <x:f>M4/(1+'Hypothèses'!$B$9)*(1-'Hypothèses'!$B$10)</x:f>
        <x:v>0</x:v>
      </x:c>
      <x:c r="O4" s="53" t="n">
        <x:f>(MAX(MIN(E4-'Hypothèses'!$B$24,'Hypothèses'!$B$25-'Hypothèses'!$B$24),0)/1000*'Hypothèses'!$B$26+MAX(MIN(E4-'Hypothèses'!$B$25,'Hypothèses'!$B$27-'Hypothèses'!$B$25),0)/1000*'Hypothèses'!$B$28+MAX(E4-'Hypothèses'!$B$27,0)/1000*'Hypothèses'!$B$29)*'Hypothèses'!$B$30</x:f>
        <x:v>0</x:v>
      </x:c>
      <x:c r="P4" s="53" t="n">
        <x:f>IF(A4&gt;='Hypothèses'!$B$12,'Hypothèses'!$B$15,0)+L4*'Hypothèses'!$B$16</x:f>
        <x:v>0</x:v>
      </x:c>
      <x:c r="Q4" s="53" t="n">
        <x:f>MAX(N4*'Hypothèses'!$B$17,'Hypothèses'!$B$18)+'Acquisition'!$H$4</x:f>
        <x:v>300</x:v>
      </x:c>
      <x:c r="R4" s="53" t="n">
        <x:f>'Hypothèses'!$B$21</x:f>
        <x:v>150</x:v>
      </x:c>
      <x:c r="S4" s="53" t="n">
        <x:f>'Hypothèses'!$B$19</x:f>
        <x:v>200</x:v>
      </x:c>
      <x:c r="T4" s="53" t="n">
        <x:f>'Hypothèses'!$B$20</x:f>
        <x:v>100</x:v>
      </x:c>
      <x:c r="U4" s="53" t="n">
        <x:f>'Hypothèses'!$C$43</x:f>
        <x:v>0</x:v>
      </x:c>
      <x:c r="V4" s="53" t="n">
        <x:f>N4-SUM(O4:T4)-Z4</x:f>
        <x:v>-750</x:v>
      </x:c>
      <x:c r="W4" s="53" t="n">
        <x:f>SUM(O4:U4)+Z4</x:f>
        <x:v>750</x:v>
      </x:c>
      <x:c r="X4" s="53" t="n">
        <x:f>N4-W4</x:f>
        <x:v>-750</x:v>
      </x:c>
      <x:c r="Y4" s="53" t="n">
        <x:f>X4</x:f>
        <x:v>-750</x:v>
      </x:c>
      <x:c r="Z4" t="n">
        <x:f>IF(M4&gt;='Hypothèses'!$B$31*'Hypothèses'!$B$30,M4*'Hypothèses'!$B$32,0)</x:f>
        <x:v>0</x:v>
      </x:c>
    </x:row>
    <x:row r="5">
      <x:c r="A5" s="50" t="n">
        <x:v>2</x:v>
      </x:c>
      <x:c r="B5" s="51" t="n">
        <x:v>46419</x:v>
      </x:c>
      <x:c r="C5" s="113" t="n">
        <x:f>'Acquisition'!$K$5</x:f>
        <x:v>2160</x:v>
      </x:c>
      <x:c r="D5" s="52" t="n">
        <x:f>SUM($C$4:C5)</x:f>
        <x:v>4160</x:v>
      </x:c>
      <x:c r="E5" s="52" t="n">
        <x:f>C4*'Cohortes MAU'!$D$5+C5*'Cohortes MAU'!$D$4</x:f>
        <x:v>832</x:v>
      </x:c>
      <x:c r="F5" s="52" t="n">
        <x:v>0</x:v>
      </x:c>
      <x:c r="G5" s="52" t="n">
        <x:f>SUM($F$4:F5)</x:f>
        <x:v>0</x:v>
      </x:c>
      <x:c r="H5" s="52" t="n">
        <x:v>0</x:v>
      </x:c>
      <x:c r="I5" s="52" t="n">
        <x:v>0</x:v>
      </x:c>
      <x:c r="J5" s="52" t="n">
        <x:v>0</x:v>
      </x:c>
      <x:c r="K5" s="52" t="n">
        <x:v>0</x:v>
      </x:c>
      <x:c r="L5" s="52" t="n">
        <x:f>SUM(H4:K5)</x:f>
        <x:v>0</x:v>
      </x:c>
      <x:c r="M5" s="53" t="n">
        <x:f>F5*'Hypothèses'!$B$6+H5*'Hypothèses'!$B$7+I5*'Hypothèses'!$B$8+J5*'Hypothèses'!$B$7+K5*'Hypothèses'!$B$8</x:f>
        <x:v>0</x:v>
      </x:c>
      <x:c r="N5" s="53" t="n">
        <x:f>M5/(1+'Hypothèses'!$B$9)*(1-'Hypothèses'!$B$10)</x:f>
        <x:v>0</x:v>
      </x:c>
      <x:c r="O5" s="53" t="n">
        <x:f>(MAX(MIN(E5-'Hypothèses'!$B$24,'Hypothèses'!$B$25-'Hypothèses'!$B$24),0)/1000*'Hypothèses'!$B$26+MAX(MIN(E5-'Hypothèses'!$B$25,'Hypothèses'!$B$27-'Hypothèses'!$B$25),0)/1000*'Hypothèses'!$B$28+MAX(E5-'Hypothèses'!$B$27,0)/1000*'Hypothèses'!$B$29)*'Hypothèses'!$B$30</x:f>
        <x:v>0</x:v>
      </x:c>
      <x:c r="P5" s="53" t="n">
        <x:f>IF(A5&gt;='Hypothèses'!$B$12,'Hypothèses'!$B$15,0)+L5*'Hypothèses'!$B$16</x:f>
        <x:v>0</x:v>
      </x:c>
      <x:c r="Q5" s="53" t="n">
        <x:f>MAX(N5*'Hypothèses'!$B$17,'Hypothèses'!$B$18)+'Acquisition'!$H$5</x:f>
        <x:v>300</x:v>
      </x:c>
      <x:c r="R5" s="53" t="n">
        <x:f>'Hypothèses'!$B$21</x:f>
        <x:v>150</x:v>
      </x:c>
      <x:c r="S5" s="53" t="n">
        <x:f>'Hypothèses'!$B$19</x:f>
        <x:v>200</x:v>
      </x:c>
      <x:c r="T5" s="53" t="n">
        <x:f>'Hypothèses'!$B$20</x:f>
        <x:v>100</x:v>
      </x:c>
      <x:c r="U5" s="53" t="n">
        <x:f>'Hypothèses'!$C$43</x:f>
        <x:v>0</x:v>
      </x:c>
      <x:c r="V5" s="53" t="n">
        <x:f>N5-SUM(O5:T5)-Z5</x:f>
        <x:v>-750</x:v>
      </x:c>
      <x:c r="W5" s="53" t="n">
        <x:f>SUM(O5:U5)+Z5</x:f>
        <x:v>750</x:v>
      </x:c>
      <x:c r="X5" s="53" t="n">
        <x:f>N5-W5</x:f>
        <x:v>-750</x:v>
      </x:c>
      <x:c r="Y5" s="53" t="n">
        <x:f>Y4+X5</x:f>
        <x:v>-1500</x:v>
      </x:c>
      <x:c r="Z5" t="n">
        <x:f>IF(M5&gt;='Hypothèses'!$B$31*'Hypothèses'!$B$30,M5*'Hypothèses'!$B$32,0)</x:f>
        <x:v>0</x:v>
      </x:c>
    </x:row>
    <x:row r="6">
      <x:c r="A6" s="50" t="n">
        <x:v>3</x:v>
      </x:c>
      <x:c r="B6" s="51" t="n">
        <x:v>46447</x:v>
      </x:c>
      <x:c r="C6" s="113" t="n">
        <x:f>'Acquisition'!$K$6</x:f>
        <x:v>2332.8</x:v>
      </x:c>
      <x:c r="D6" s="52" t="n">
        <x:f>SUM($C$4:C6)</x:f>
        <x:v>6492.8</x:v>
      </x:c>
      <x:c r="E6" s="52" t="n">
        <x:f>C4*'Cohortes MAU'!$D$6+C5*'Cohortes MAU'!$D$5+C6*'Cohortes MAU'!$D$4</x:f>
        <x:v>1298.56</x:v>
      </x:c>
      <x:c r="F6" s="52" t="n">
        <x:f>C4*'Hypothèses'!$C$39</x:f>
        <x:v>50</x:v>
      </x:c>
      <x:c r="G6" s="52" t="n">
        <x:f>SUM($F$4:F6)</x:f>
        <x:v>50</x:v>
      </x:c>
      <x:c r="H6" s="52" t="n">
        <x:v>0</x:v>
      </x:c>
      <x:c r="I6" s="52" t="n">
        <x:v>0</x:v>
      </x:c>
      <x:c r="J6" s="52" t="n">
        <x:v>0</x:v>
      </x:c>
      <x:c r="K6" s="52" t="n">
        <x:v>0</x:v>
      </x:c>
      <x:c r="L6" s="52" t="n">
        <x:f>SUM(H4:K6)</x:f>
        <x:v>0</x:v>
      </x:c>
      <x:c r="M6" s="53" t="n">
        <x:f>F6*'Hypothèses'!$B$6+H6*'Hypothèses'!$B$7+I6*'Hypothèses'!$B$8+J6*'Hypothèses'!$B$7+K6*'Hypothèses'!$B$8</x:f>
        <x:v>999.4999999999999</x:v>
      </x:c>
      <x:c r="N6" s="53" t="n">
        <x:f>M6/(1+'Hypothèses'!$B$9)*(1-'Hypothèses'!$B$10)</x:f>
        <x:v>707.9791666666666</x:v>
      </x:c>
      <x:c r="O6" s="53" t="n">
        <x:f>(MAX(MIN(E6-'Hypothèses'!$B$24,'Hypothèses'!$B$25-'Hypothèses'!$B$24),0)/1000*'Hypothèses'!$B$26+MAX(MIN(E6-'Hypothèses'!$B$25,'Hypothèses'!$B$27-'Hypothèses'!$B$25),0)/1000*'Hypothèses'!$B$28+MAX(E6-'Hypothèses'!$B$27,0)/1000*'Hypothèses'!$B$29)*'Hypothèses'!$B$30</x:f>
        <x:v>0</x:v>
      </x:c>
      <x:c r="P6" s="53" t="n">
        <x:f>IF(A6&gt;='Hypothèses'!$B$12,'Hypothèses'!$B$15,0)+L6*'Hypothèses'!$B$16</x:f>
        <x:v>0</x:v>
      </x:c>
      <x:c r="Q6" s="53" t="n">
        <x:f>MAX(N6*'Hypothèses'!$B$17,'Hypothèses'!$B$18)+'Acquisition'!$H$6</x:f>
        <x:v>300</x:v>
      </x:c>
      <x:c r="R6" s="53" t="n">
        <x:f>'Hypothèses'!$B$21</x:f>
        <x:v>150</x:v>
      </x:c>
      <x:c r="S6" s="53" t="n">
        <x:f>'Hypothèses'!$B$19</x:f>
        <x:v>200</x:v>
      </x:c>
      <x:c r="T6" s="53" t="n">
        <x:f>'Hypothèses'!$B$20</x:f>
        <x:v>100</x:v>
      </x:c>
      <x:c r="U6" s="53" t="n">
        <x:f>'Hypothèses'!$C$43</x:f>
        <x:v>0</x:v>
      </x:c>
      <x:c r="V6" s="53" t="n">
        <x:f>N6-SUM(O6:T6)-Z6</x:f>
        <x:v>-42.02083333333337</x:v>
      </x:c>
      <x:c r="W6" s="53" t="n">
        <x:f>SUM(O6:U6)+Z6</x:f>
        <x:v>750</x:v>
      </x:c>
      <x:c r="X6" s="53" t="n">
        <x:f>N6-W6</x:f>
        <x:v>-42.02083333333337</x:v>
      </x:c>
      <x:c r="Y6" s="53" t="n">
        <x:f>Y5+X6</x:f>
        <x:v>-1542.0208333333335</x:v>
      </x:c>
      <x:c r="Z6" t="n">
        <x:f>IF(M6&gt;='Hypothèses'!$B$31*'Hypothèses'!$B$30,M6*'Hypothèses'!$B$32,0)</x:f>
        <x:v>0</x:v>
      </x:c>
    </x:row>
    <x:row r="7">
      <x:c r="A7" s="50" t="n">
        <x:v>4</x:v>
      </x:c>
      <x:c r="B7" s="51" t="n">
        <x:v>46478</x:v>
      </x:c>
      <x:c r="C7" s="113" t="n">
        <x:f>'Acquisition'!$K$7</x:f>
        <x:v>2519.4240000000004</x:v>
      </x:c>
      <x:c r="D7" s="52" t="n">
        <x:f>SUM($C$4:C7)</x:f>
        <x:v>9012.224</x:v>
      </x:c>
      <x:c r="E7" s="52" t="n">
        <x:f>C4*'Cohortes MAU'!$D$7+C5*'Cohortes MAU'!$D$6+C6*'Cohortes MAU'!$D$5+C7*'Cohortes MAU'!$D$4</x:f>
        <x:v>1802.4448</x:v>
      </x:c>
      <x:c r="F7" s="52" t="n">
        <x:f>C5*'Hypothèses'!$C$39</x:f>
        <x:v>54</x:v>
      </x:c>
      <x:c r="G7" s="52" t="n">
        <x:f>SUM($F$4:F7)</x:f>
        <x:v>104</x:v>
      </x:c>
      <x:c r="H7" s="52" t="n">
        <x:v>0</x:v>
      </x:c>
      <x:c r="I7" s="52" t="n">
        <x:v>0</x:v>
      </x:c>
      <x:c r="J7" s="52" t="n">
        <x:v>0</x:v>
      </x:c>
      <x:c r="K7" s="52" t="n">
        <x:v>0</x:v>
      </x:c>
      <x:c r="L7" s="52" t="n">
        <x:f>SUM(H4:K7)</x:f>
        <x:v>0</x:v>
      </x:c>
      <x:c r="M7" s="53" t="n">
        <x:f>F7*'Hypothèses'!$B$6+H7*'Hypothèses'!$B$7+I7*'Hypothèses'!$B$8+J7*'Hypothèses'!$B$7+K7*'Hypothèses'!$B$8</x:f>
        <x:v>1079.4599999999998</x:v>
      </x:c>
      <x:c r="N7" s="53" t="n">
        <x:f>M7/(1+'Hypothèses'!$B$9)*(1-'Hypothèses'!$B$10)</x:f>
        <x:v>764.6174999999998</x:v>
      </x:c>
      <x:c r="O7" s="53" t="n">
        <x:f>(MAX(MIN(E7-'Hypothèses'!$B$24,'Hypothèses'!$B$25-'Hypothèses'!$B$24),0)/1000*'Hypothèses'!$B$26+MAX(MIN(E7-'Hypothèses'!$B$25,'Hypothèses'!$B$27-'Hypothèses'!$B$25),0)/1000*'Hypothèses'!$B$28+MAX(E7-'Hypothèses'!$B$27,0)/1000*'Hypothèses'!$B$29)*'Hypothèses'!$B$30</x:f>
        <x:v>0</x:v>
      </x:c>
      <x:c r="P7" s="53" t="n">
        <x:f>IF(A7&gt;='Hypothèses'!$B$12,'Hypothèses'!$B$15,0)+L7*'Hypothèses'!$B$16</x:f>
        <x:v>0</x:v>
      </x:c>
      <x:c r="Q7" s="53" t="n">
        <x:f>MAX(N7*'Hypothèses'!$B$17,'Hypothèses'!$B$18)+'Acquisition'!$H$7</x:f>
        <x:v>300</x:v>
      </x:c>
      <x:c r="R7" s="53" t="n">
        <x:f>'Hypothèses'!$B$21</x:f>
        <x:v>150</x:v>
      </x:c>
      <x:c r="S7" s="53" t="n">
        <x:f>'Hypothèses'!$B$19</x:f>
        <x:v>200</x:v>
      </x:c>
      <x:c r="T7" s="53" t="n">
        <x:f>'Hypothèses'!$B$20</x:f>
        <x:v>100</x:v>
      </x:c>
      <x:c r="U7" s="53" t="n">
        <x:f>'Hypothèses'!$C$43</x:f>
        <x:v>0</x:v>
      </x:c>
      <x:c r="V7" s="53" t="n">
        <x:f>N7-SUM(O7:T7)-Z7</x:f>
        <x:v>14.617499999999836</x:v>
      </x:c>
      <x:c r="W7" s="53" t="n">
        <x:f>SUM(O7:U7)+Z7</x:f>
        <x:v>750</x:v>
      </x:c>
      <x:c r="X7" s="53" t="n">
        <x:f>N7-W7</x:f>
        <x:v>14.617499999999836</x:v>
      </x:c>
      <x:c r="Y7" s="53" t="n">
        <x:f>Y6+X7</x:f>
        <x:v>-1527.4033333333336</x:v>
      </x:c>
      <x:c r="Z7" t="n">
        <x:f>IF(M7&gt;='Hypothèses'!$B$31*'Hypothèses'!$B$30,M7*'Hypothèses'!$B$32,0)</x:f>
        <x:v>0</x:v>
      </x:c>
    </x:row>
    <x:row r="8">
      <x:c r="A8" s="50" t="n">
        <x:v>5</x:v>
      </x:c>
      <x:c r="B8" s="51" t="n">
        <x:v>46508</x:v>
      </x:c>
      <x:c r="C8" s="113" t="n">
        <x:f>'Acquisition'!$K$8</x:f>
        <x:v>2720.9779200000007</x:v>
      </x:c>
      <x:c r="D8" s="52" t="n">
        <x:f>SUM($C$4:C8)</x:f>
        <x:v>11733.201920000001</x:v>
      </x:c>
      <x:c r="E8" s="52" t="n">
        <x:f>C4*'Cohortes MAU'!$D$8+C5*'Cohortes MAU'!$D$7+C6*'Cohortes MAU'!$D$6+C7*'Cohortes MAU'!$D$5+C8*'Cohortes MAU'!$D$4</x:f>
        <x:v>2346.6403840000003</x:v>
      </x:c>
      <x:c r="F8" s="52" t="n">
        <x:f>C6*'Hypothèses'!$C$39</x:f>
        <x:v>58.32000000000001</x:v>
      </x:c>
      <x:c r="G8" s="52" t="n">
        <x:f>SUM($F$4:F8)</x:f>
        <x:v>162.32</x:v>
      </x:c>
      <x:c r="H8" s="52" t="n">
        <x:v>0</x:v>
      </x:c>
      <x:c r="I8" s="52" t="n">
        <x:v>0</x:v>
      </x:c>
      <x:c r="J8" s="52" t="n">
        <x:v>0</x:v>
      </x:c>
      <x:c r="K8" s="52" t="n">
        <x:v>0</x:v>
      </x:c>
      <x:c r="L8" s="52" t="n">
        <x:f>SUM(H4:K8)</x:f>
        <x:v>0</x:v>
      </x:c>
      <x:c r="M8" s="53" t="n">
        <x:f>F8*'Hypothèses'!$B$6+H8*'Hypothèses'!$B$7+I8*'Hypothèses'!$B$8+J8*'Hypothèses'!$B$7+K8*'Hypothèses'!$B$8</x:f>
        <x:v>1165.8168</x:v>
      </x:c>
      <x:c r="N8" s="53" t="n">
        <x:f>M8/(1+'Hypothèses'!$B$9)*(1-'Hypothèses'!$B$10)</x:f>
        <x:v>825.7869000000001</x:v>
      </x:c>
      <x:c r="O8" s="53" t="n">
        <x:f>(MAX(MIN(E8-'Hypothèses'!$B$24,'Hypothèses'!$B$25-'Hypothèses'!$B$24),0)/1000*'Hypothèses'!$B$26+MAX(MIN(E8-'Hypothèses'!$B$25,'Hypothèses'!$B$27-'Hypothèses'!$B$25),0)/1000*'Hypothèses'!$B$28+MAX(E8-'Hypothèses'!$B$27,0)/1000*'Hypothèses'!$B$29)*'Hypothèses'!$B$30</x:f>
        <x:v>0</x:v>
      </x:c>
      <x:c r="P8" s="53" t="n">
        <x:f>IF(A8&gt;='Hypothèses'!$B$12,'Hypothèses'!$B$15,0)+L8*'Hypothèses'!$B$16</x:f>
        <x:v>0</x:v>
      </x:c>
      <x:c r="Q8" s="53" t="n">
        <x:f>MAX(N8*'Hypothèses'!$B$17,'Hypothèses'!$B$18)+'Acquisition'!$H$8</x:f>
        <x:v>300</x:v>
      </x:c>
      <x:c r="R8" s="53" t="n">
        <x:f>'Hypothèses'!$B$21</x:f>
        <x:v>150</x:v>
      </x:c>
      <x:c r="S8" s="53" t="n">
        <x:f>'Hypothèses'!$B$19</x:f>
        <x:v>200</x:v>
      </x:c>
      <x:c r="T8" s="53" t="n">
        <x:f>'Hypothèses'!$B$20</x:f>
        <x:v>100</x:v>
      </x:c>
      <x:c r="U8" s="53" t="n">
        <x:f>'Hypothèses'!$C$43</x:f>
        <x:v>0</x:v>
      </x:c>
      <x:c r="V8" s="53" t="n">
        <x:f>N8-SUM(O8:T8)-Z8</x:f>
        <x:v>75.78690000000006</x:v>
      </x:c>
      <x:c r="W8" s="53" t="n">
        <x:f>SUM(O8:U8)+Z8</x:f>
        <x:v>750</x:v>
      </x:c>
      <x:c r="X8" s="53" t="n">
        <x:f>N8-W8</x:f>
        <x:v>75.78690000000006</x:v>
      </x:c>
      <x:c r="Y8" s="53" t="n">
        <x:f>Y7+X8</x:f>
        <x:v>-1451.6164333333336</x:v>
      </x:c>
      <x:c r="Z8" t="n">
        <x:f>IF(M8&gt;='Hypothèses'!$B$31*'Hypothèses'!$B$30,M8*'Hypothèses'!$B$32,0)</x:f>
        <x:v>0</x:v>
      </x:c>
    </x:row>
    <x:row r="9">
      <x:c r="A9" s="50" t="n">
        <x:v>6</x:v>
      </x:c>
      <x:c r="B9" s="51" t="n">
        <x:v>46539</x:v>
      </x:c>
      <x:c r="C9" s="113" t="n">
        <x:f>'Acquisition'!$K$9</x:f>
        <x:v>2938.656153600001</x:v>
      </x:c>
      <x:c r="D9" s="52" t="n">
        <x:f>SUM($C$4:C9)</x:f>
        <x:v>14671.858073600002</x:v>
      </x:c>
      <x:c r="E9" s="52" t="n">
        <x:f>C4*'Cohortes MAU'!$D$9+C5*'Cohortes MAU'!$D$8+C6*'Cohortes MAU'!$D$7+C7*'Cohortes MAU'!$D$6+C8*'Cohortes MAU'!$D$5+C9*'Cohortes MAU'!$D$4</x:f>
        <x:v>2934.3716147200003</x:v>
      </x:c>
      <x:c r="F9" s="52" t="n">
        <x:f>C7*'Hypothèses'!$C$39</x:f>
        <x:v>62.98560000000001</x:v>
      </x:c>
      <x:c r="G9" s="52" t="n">
        <x:f>SUM($F$4:F9)</x:f>
        <x:v>225.3056</x:v>
      </x:c>
      <x:c r="H9" s="52" t="n">
        <x:v>0</x:v>
      </x:c>
      <x:c r="I9" s="52" t="n">
        <x:v>0</x:v>
      </x:c>
      <x:c r="J9" s="52" t="n">
        <x:v>0</x:v>
      </x:c>
      <x:c r="K9" s="52" t="n">
        <x:v>0</x:v>
      </x:c>
      <x:c r="L9" s="52" t="n">
        <x:f>SUM(H4:K9)</x:f>
        <x:v>0</x:v>
      </x:c>
      <x:c r="M9" s="53" t="n">
        <x:f>F9*'Hypothèses'!$B$6+H9*'Hypothèses'!$B$7+I9*'Hypothèses'!$B$8+J9*'Hypothèses'!$B$7+K9*'Hypothèses'!$B$8</x:f>
        <x:v>1259.0821440000002</x:v>
      </x:c>
      <x:c r="N9" s="53" t="n">
        <x:f>M9/(1+'Hypothèses'!$B$9)*(1-'Hypothèses'!$B$10)</x:f>
        <x:v>891.8498520000002</x:v>
      </x:c>
      <x:c r="O9" s="53" t="n">
        <x:f>(MAX(MIN(E9-'Hypothèses'!$B$24,'Hypothèses'!$B$25-'Hypothèses'!$B$24),0)/1000*'Hypothèses'!$B$26+MAX(MIN(E9-'Hypothèses'!$B$25,'Hypothèses'!$B$27-'Hypothèses'!$B$25),0)/1000*'Hypothèses'!$B$28+MAX(E9-'Hypothèses'!$B$27,0)/1000*'Hypothèses'!$B$29)*'Hypothèses'!$B$30</x:f>
        <x:v>0</x:v>
      </x:c>
      <x:c r="P9" s="53" t="n">
        <x:f>IF(A9&gt;='Hypothèses'!$B$12,'Hypothèses'!$B$15,0)+L9*'Hypothèses'!$B$16</x:f>
        <x:v>0</x:v>
      </x:c>
      <x:c r="Q9" s="53" t="n">
        <x:f>MAX(N9*'Hypothèses'!$B$17,'Hypothèses'!$B$18)+'Acquisition'!$H$9</x:f>
        <x:v>300</x:v>
      </x:c>
      <x:c r="R9" s="53" t="n">
        <x:f>'Hypothèses'!$B$21</x:f>
        <x:v>150</x:v>
      </x:c>
      <x:c r="S9" s="53" t="n">
        <x:f>'Hypothèses'!$B$19</x:f>
        <x:v>200</x:v>
      </x:c>
      <x:c r="T9" s="53" t="n">
        <x:f>'Hypothèses'!$B$20</x:f>
        <x:v>100</x:v>
      </x:c>
      <x:c r="U9" s="53" t="n">
        <x:f>'Hypothèses'!$C$43</x:f>
        <x:v>0</x:v>
      </x:c>
      <x:c r="V9" s="53" t="n">
        <x:f>N9-SUM(O9:T9)-Z9</x:f>
        <x:v>141.84985200000017</x:v>
      </x:c>
      <x:c r="W9" s="53" t="n">
        <x:f>SUM(O9:U9)+Z9</x:f>
        <x:v>750</x:v>
      </x:c>
      <x:c r="X9" s="53" t="n">
        <x:f>N9-W9</x:f>
        <x:v>141.84985200000017</x:v>
      </x:c>
      <x:c r="Y9" s="53" t="n">
        <x:f>Y8+X9</x:f>
        <x:v>-1309.7665813333333</x:v>
      </x:c>
      <x:c r="Z9" t="n">
        <x:f>IF(M9&gt;='Hypothèses'!$B$31*'Hypothèses'!$B$30,M9*'Hypothèses'!$B$32,0)</x:f>
        <x:v>0</x:v>
      </x:c>
    </x:row>
    <x:row r="10">
      <x:c r="A10" s="50" t="n">
        <x:v>7</x:v>
      </x:c>
      <x:c r="B10" s="51" t="n">
        <x:v>46569</x:v>
      </x:c>
      <x:c r="C10" s="113" t="n">
        <x:f>'Acquisition'!$K$10</x:f>
        <x:v>3173.748645888001</x:v>
      </x:c>
      <x:c r="D10" s="52" t="n">
        <x:f>SUM($C$4:C10)</x:f>
        <x:v>17845.606719488</x:v>
      </x:c>
      <x:c r="E10" s="52" t="n">
        <x:f>C4*'Cohortes MAU'!$D$10+C5*'Cohortes MAU'!$D$9+C6*'Cohortes MAU'!$D$8+C7*'Cohortes MAU'!$D$7+C8*'Cohortes MAU'!$D$6+C9*'Cohortes MAU'!$D$5+C10*'Cohortes MAU'!$D$4</x:f>
        <x:v>3569.1213438976006</x:v>
      </x:c>
      <x:c r="F10" s="52" t="n">
        <x:f>C8*'Hypothèses'!$C$39</x:f>
        <x:v>68.02444800000002</x:v>
      </x:c>
      <x:c r="G10" s="52" t="n">
        <x:f>SUM($F$4:F10)</x:f>
        <x:v>293.33004800000003</x:v>
      </x:c>
      <x:c r="H10" s="52" t="n">
        <x:v>0</x:v>
      </x:c>
      <x:c r="I10" s="52" t="n">
        <x:v>0</x:v>
      </x:c>
      <x:c r="J10" s="52" t="n">
        <x:v>0</x:v>
      </x:c>
      <x:c r="K10" s="52" t="n">
        <x:v>0</x:v>
      </x:c>
      <x:c r="L10" s="52" t="n">
        <x:f>SUM(H4:K10)</x:f>
        <x:v>0</x:v>
      </x:c>
      <x:c r="M10" s="53" t="n">
        <x:f>F10*'Hypothèses'!$B$6+H10*'Hypothèses'!$B$7+I10*'Hypothèses'!$B$8+J10*'Hypothèses'!$B$7+K10*'Hypothèses'!$B$8</x:f>
        <x:v>1359.8087155200003</x:v>
      </x:c>
      <x:c r="N10" s="53" t="n">
        <x:f>M10/(1+'Hypothèses'!$B$9)*(1-'Hypothèses'!$B$10)</x:f>
        <x:v>963.1978401600002</x:v>
      </x:c>
      <x:c r="O10" s="53" t="n">
        <x:f>(MAX(MIN(E10-'Hypothèses'!$B$24,'Hypothèses'!$B$25-'Hypothèses'!$B$24),0)/1000*'Hypothèses'!$B$26+MAX(MIN(E10-'Hypothèses'!$B$25,'Hypothèses'!$B$27-'Hypothèses'!$B$25),0)/1000*'Hypothèses'!$B$28+MAX(E10-'Hypothèses'!$B$27,0)/1000*'Hypothèses'!$B$29)*'Hypothèses'!$B$30</x:f>
        <x:v>0</x:v>
      </x:c>
      <x:c r="P10" s="53" t="n">
        <x:f>IF(A10&gt;='Hypothèses'!$B$12,'Hypothèses'!$B$15,0)+L10*'Hypothèses'!$B$16</x:f>
        <x:v>0</x:v>
      </x:c>
      <x:c r="Q10" s="53" t="n">
        <x:f>MAX(N10*'Hypothèses'!$B$17,'Hypothèses'!$B$18)+'Acquisition'!$H$10</x:f>
        <x:v>300</x:v>
      </x:c>
      <x:c r="R10" s="53" t="n">
        <x:f>'Hypothèses'!$B$21</x:f>
        <x:v>150</x:v>
      </x:c>
      <x:c r="S10" s="53" t="n">
        <x:f>'Hypothèses'!$B$19</x:f>
        <x:v>200</x:v>
      </x:c>
      <x:c r="T10" s="53" t="n">
        <x:f>'Hypothèses'!$B$20</x:f>
        <x:v>100</x:v>
      </x:c>
      <x:c r="U10" s="53" t="n">
        <x:f>'Hypothèses'!$C$43</x:f>
        <x:v>0</x:v>
      </x:c>
      <x:c r="V10" s="53" t="n">
        <x:f>N10-SUM(O10:T10)-Z10</x:f>
        <x:v>213.19784016000017</x:v>
      </x:c>
      <x:c r="W10" s="53" t="n">
        <x:f>SUM(O10:U10)+Z10</x:f>
        <x:v>750</x:v>
      </x:c>
      <x:c r="X10" s="53" t="n">
        <x:f>N10-W10</x:f>
        <x:v>213.19784016000017</x:v>
      </x:c>
      <x:c r="Y10" s="53" t="n">
        <x:f>Y9+X10</x:f>
        <x:v>-1096.5687411733331</x:v>
      </x:c>
      <x:c r="Z10" t="n">
        <x:f>IF(M10&gt;='Hypothèses'!$B$31*'Hypothèses'!$B$30,M10*'Hypothèses'!$B$32,0)</x:f>
        <x:v>0</x:v>
      </x:c>
    </x:row>
    <x:row r="11">
      <x:c r="A11" s="50" t="n">
        <x:v>8</x:v>
      </x:c>
      <x:c r="B11" s="51" t="n">
        <x:v>46600</x:v>
      </x:c>
      <x:c r="C11" s="113" t="n">
        <x:f>'Acquisition'!$K$11</x:f>
        <x:v>3427.6485375590414</x:v>
      </x:c>
      <x:c r="D11" s="52" t="n">
        <x:f>SUM($C$4:C11)</x:f>
        <x:v>21273.255257047043</x:v>
      </x:c>
      <x:c r="E11" s="52" t="n">
        <x:f>C4*'Cohortes MAU'!$D$11+C5*'Cohortes MAU'!$D$10+C6*'Cohortes MAU'!$D$9+C7*'Cohortes MAU'!$D$8+C8*'Cohortes MAU'!$D$7+C9*'Cohortes MAU'!$D$6+C10*'Cohortes MAU'!$D$5+C11*'Cohortes MAU'!$D$4</x:f>
        <x:v>4254.651051409409</x:v>
      </x:c>
      <x:c r="F11" s="52" t="n">
        <x:f>C9*'Hypothèses'!$C$39</x:f>
        <x:v>73.46640384000003</x:v>
      </x:c>
      <x:c r="G11" s="52" t="n">
        <x:f>SUM($F$4:F11)</x:f>
        <x:v>366.79645184000003</x:v>
      </x:c>
      <x:c r="H11" s="52" t="n">
        <x:v>0</x:v>
      </x:c>
      <x:c r="I11" s="52" t="n">
        <x:v>0</x:v>
      </x:c>
      <x:c r="J11" s="52" t="n">
        <x:v>0</x:v>
      </x:c>
      <x:c r="K11" s="52" t="n">
        <x:v>0</x:v>
      </x:c>
      <x:c r="L11" s="52" t="n">
        <x:f>SUM(H4:K11)</x:f>
        <x:v>0</x:v>
      </x:c>
      <x:c r="M11" s="53" t="n">
        <x:f>F11*'Hypothèses'!$B$6+H11*'Hypothèses'!$B$7+I11*'Hypothèses'!$B$8+J11*'Hypothèses'!$B$7+K11*'Hypothèses'!$B$8</x:f>
        <x:v>1468.5934127616003</x:v>
      </x:c>
      <x:c r="N11" s="53" t="n">
        <x:f>M11/(1+'Hypothèses'!$B$9)*(1-'Hypothèses'!$B$10)</x:f>
        <x:v>1040.2536673728002</x:v>
      </x:c>
      <x:c r="O11" s="53" t="n">
        <x:f>(MAX(MIN(E11-'Hypothèses'!$B$24,'Hypothèses'!$B$25-'Hypothèses'!$B$24),0)/1000*'Hypothèses'!$B$26+MAX(MIN(E11-'Hypothèses'!$B$25,'Hypothèses'!$B$27-'Hypothèses'!$B$25),0)/1000*'Hypothèses'!$B$28+MAX(E11-'Hypothèses'!$B$27,0)/1000*'Hypothèses'!$B$29)*'Hypothèses'!$B$30</x:f>
        <x:v>0</x:v>
      </x:c>
      <x:c r="P11" s="53" t="n">
        <x:f>IF(A11&gt;='Hypothèses'!$B$12,'Hypothèses'!$B$15,0)+L11*'Hypothèses'!$B$16</x:f>
        <x:v>0</x:v>
      </x:c>
      <x:c r="Q11" s="53" t="n">
        <x:f>MAX(N11*'Hypothèses'!$B$17,'Hypothèses'!$B$18)+'Acquisition'!$H$11</x:f>
        <x:v>300</x:v>
      </x:c>
      <x:c r="R11" s="53" t="n">
        <x:f>'Hypothèses'!$B$21</x:f>
        <x:v>150</x:v>
      </x:c>
      <x:c r="S11" s="53" t="n">
        <x:f>'Hypothèses'!$B$19</x:f>
        <x:v>200</x:v>
      </x:c>
      <x:c r="T11" s="53" t="n">
        <x:f>'Hypothèses'!$B$20</x:f>
        <x:v>100</x:v>
      </x:c>
      <x:c r="U11" s="53" t="n">
        <x:f>'Hypothèses'!$C$43</x:f>
        <x:v>0</x:v>
      </x:c>
      <x:c r="V11" s="53" t="n">
        <x:f>N11-SUM(O11:T11)-Z11</x:f>
        <x:v>290.25366737280024</x:v>
      </x:c>
      <x:c r="W11" s="53" t="n">
        <x:f>SUM(O11:U11)+Z11</x:f>
        <x:v>750</x:v>
      </x:c>
      <x:c r="X11" s="53" t="n">
        <x:f>N11-W11</x:f>
        <x:v>290.25366737280024</x:v>
      </x:c>
      <x:c r="Y11" s="53" t="n">
        <x:f>Y10+X11</x:f>
        <x:v>-806.3150738005329</x:v>
      </x:c>
      <x:c r="Z11" t="n">
        <x:f>IF(M11&gt;='Hypothèses'!$B$31*'Hypothèses'!$B$30,M11*'Hypothèses'!$B$32,0)</x:f>
        <x:v>0</x:v>
      </x:c>
    </x:row>
    <x:row r="12">
      <x:c r="A12" s="50" t="n">
        <x:v>9</x:v>
      </x:c>
      <x:c r="B12" s="51" t="n">
        <x:v>46631</x:v>
      </x:c>
      <x:c r="C12" s="113" t="n">
        <x:f>'Acquisition'!$K$12</x:f>
        <x:v>3701.860420563765</x:v>
      </x:c>
      <x:c r="D12" s="52" t="n">
        <x:f>SUM($C$4:C12)</x:f>
        <x:v>24975.115677610807</x:v>
      </x:c>
      <x:c r="E12" s="52" t="n">
        <x:f>C4*'Cohortes MAU'!$D$12+C5*'Cohortes MAU'!$D$11+C6*'Cohortes MAU'!$D$10+C7*'Cohortes MAU'!$D$9+C8*'Cohortes MAU'!$D$8+C9*'Cohortes MAU'!$D$7+C10*'Cohortes MAU'!$D$6+C11*'Cohortes MAU'!$D$5+C12*'Cohortes MAU'!$D$4</x:f>
        <x:v>4995.023135522162</x:v>
      </x:c>
      <x:c r="F12" s="52" t="n">
        <x:f>C10*'Hypothèses'!$C$39</x:f>
        <x:v>79.34371614720004</x:v>
      </x:c>
      <x:c r="G12" s="52" t="n">
        <x:f>SUM($F$4:F12)</x:f>
        <x:v>446.1401679872001</x:v>
      </x:c>
      <x:c r="H12" s="52" t="n">
        <x:v>0</x:v>
      </x:c>
      <x:c r="I12" s="52" t="n">
        <x:v>0</x:v>
      </x:c>
      <x:c r="J12" s="52" t="n">
        <x:v>0</x:v>
      </x:c>
      <x:c r="K12" s="52" t="n">
        <x:v>0</x:v>
      </x:c>
      <x:c r="L12" s="52" t="n">
        <x:f>SUM(H4:K12)</x:f>
        <x:v>0</x:v>
      </x:c>
      <x:c r="M12" s="53" t="n">
        <x:f>F12*'Hypothèses'!$B$6+H12*'Hypothèses'!$B$7+I12*'Hypothèses'!$B$8+J12*'Hypothèses'!$B$7+K12*'Hypothèses'!$B$8</x:f>
        <x:v>1586.0808857825286</x:v>
      </x:c>
      <x:c r="N12" s="53" t="n">
        <x:f>M12/(1+'Hypothèses'!$B$9)*(1-'Hypothèses'!$B$10)</x:f>
        <x:v>1123.4739607626245</x:v>
      </x:c>
      <x:c r="O12" s="53" t="n">
        <x:f>(MAX(MIN(E12-'Hypothèses'!$B$24,'Hypothèses'!$B$25-'Hypothèses'!$B$24),0)/1000*'Hypothèses'!$B$26+MAX(MIN(E12-'Hypothèses'!$B$25,'Hypothèses'!$B$27-'Hypothèses'!$B$25),0)/1000*'Hypothèses'!$B$28+MAX(E12-'Hypothèses'!$B$27,0)/1000*'Hypothèses'!$B$29)*'Hypothèses'!$B$30</x:f>
        <x:v>0</x:v>
      </x:c>
      <x:c r="P12" s="53" t="n">
        <x:f>IF(A12&gt;='Hypothèses'!$B$12,'Hypothèses'!$B$15,0)+L12*'Hypothèses'!$B$16</x:f>
        <x:v>0</x:v>
      </x:c>
      <x:c r="Q12" s="53" t="n">
        <x:f>MAX(N12*'Hypothèses'!$B$17,'Hypothèses'!$B$18)+'Acquisition'!$H$12</x:f>
        <x:v>300</x:v>
      </x:c>
      <x:c r="R12" s="53" t="n">
        <x:f>'Hypothèses'!$B$21</x:f>
        <x:v>150</x:v>
      </x:c>
      <x:c r="S12" s="53" t="n">
        <x:f>'Hypothèses'!$B$19</x:f>
        <x:v>200</x:v>
      </x:c>
      <x:c r="T12" s="53" t="n">
        <x:f>'Hypothèses'!$B$20</x:f>
        <x:v>100</x:v>
      </x:c>
      <x:c r="U12" s="53" t="n">
        <x:f>'Hypothèses'!$C$43</x:f>
        <x:v>0</x:v>
      </x:c>
      <x:c r="V12" s="53" t="n">
        <x:f>N12-SUM(O12:T12)-Z12</x:f>
        <x:v>373.47396076262453</x:v>
      </x:c>
      <x:c r="W12" s="53" t="n">
        <x:f>SUM(O12:U12)+Z12</x:f>
        <x:v>750</x:v>
      </x:c>
      <x:c r="X12" s="53" t="n">
        <x:f>N12-W12</x:f>
        <x:v>373.47396076262453</x:v>
      </x:c>
      <x:c r="Y12" s="53" t="n">
        <x:f>Y11+X12</x:f>
        <x:v>-432.84111303790837</x:v>
      </x:c>
      <x:c r="Z12" t="n">
        <x:f>IF(M12&gt;='Hypothèses'!$B$31*'Hypothèses'!$B$30,M12*'Hypothèses'!$B$32,0)</x:f>
        <x:v>0</x:v>
      </x:c>
    </x:row>
    <x:row r="13">
      <x:c r="A13" s="50" t="n">
        <x:v>10</x:v>
      </x:c>
      <x:c r="B13" s="51" t="n">
        <x:v>46661</x:v>
      </x:c>
      <x:c r="C13" s="113" t="n">
        <x:f>'Acquisition'!$K$13</x:f>
        <x:v>3998.0092542088664</x:v>
      </x:c>
      <x:c r="D13" s="52" t="n">
        <x:f>SUM($C$4:C13)</x:f>
        <x:v>28973.124931819675</x:v>
      </x:c>
      <x:c r="E13" s="52" t="n">
        <x:f>C4*'Cohortes MAU'!$D$13+C5*'Cohortes MAU'!$D$12+C6*'Cohortes MAU'!$D$11+C7*'Cohortes MAU'!$D$10+C8*'Cohortes MAU'!$D$9+C9*'Cohortes MAU'!$D$8+C10*'Cohortes MAU'!$D$7+C11*'Cohortes MAU'!$D$6+C12*'Cohortes MAU'!$D$5+C13*'Cohortes MAU'!$D$4</x:f>
        <x:v>5794.624986363935</x:v>
      </x:c>
      <x:c r="F13" s="52" t="n">
        <x:f>C11*'Hypothèses'!$C$39</x:f>
        <x:v>85.69121343897604</x:v>
      </x:c>
      <x:c r="G13" s="52" t="n">
        <x:f>SUM($F$4:F13)</x:f>
        <x:v>531.8313814261761</x:v>
      </x:c>
      <x:c r="H13" s="52" t="n">
        <x:f>C10*'Hypothèses'!$C$40</x:f>
        <x:v>15.868743229440007</x:v>
      </x:c>
      <x:c r="I13" s="52" t="n">
        <x:f>G12*('Hypothèses'!$C$41/12)</x:f>
        <x:v>0.7435669466453335</x:v>
      </x:c>
      <x:c r="J13" s="52" t="n">
        <x:v>0</x:v>
      </x:c>
      <x:c r="K13" s="52" t="n">
        <x:v>0</x:v>
      </x:c>
      <x:c r="L13" s="52" t="n">
        <x:f>SUM(H4:K13)</x:f>
        <x:v>16.61231017608534</x:v>
      </x:c>
      <x:c r="M13" s="53" t="n">
        <x:f>F13*'Hypothèses'!$B$6+H13*'Hypothèses'!$B$7+I13*'Hypothèses'!$B$8+J13*'Hypothèses'!$B$7+K13*'Hypothèses'!$B$8</x:f>
        <x:v>2203.7348693594768</x:v>
      </x:c>
      <x:c r="N13" s="53" t="n">
        <x:f>M13/(1+'Hypothèses'!$B$9)*(1-'Hypothèses'!$B$10)</x:f>
        <x:v>1560.978865796296</x:v>
      </x:c>
      <x:c r="O13" s="53" t="n">
        <x:f>(MAX(MIN(E13-'Hypothèses'!$B$24,'Hypothèses'!$B$25-'Hypothèses'!$B$24),0)/1000*'Hypothèses'!$B$26+MAX(MIN(E13-'Hypothèses'!$B$25,'Hypothèses'!$B$27-'Hypothèses'!$B$25),0)/1000*'Hypothèses'!$B$28+MAX(E13-'Hypothèses'!$B$27,0)/1000*'Hypothèses'!$B$29)*'Hypothèses'!$B$30</x:f>
        <x:v>0</x:v>
      </x:c>
      <x:c r="P13" s="53" t="n">
        <x:f>IF(A13&gt;='Hypothèses'!$B$12,'Hypothèses'!$B$15,0)+L13*'Hypothèses'!$B$16</x:f>
        <x:v>26.661231017608536</x:v>
      </x:c>
      <x:c r="Q13" s="53" t="n">
        <x:f>MAX(N13*'Hypothèses'!$B$17,'Hypothèses'!$B$18)+'Acquisition'!$H$13</x:f>
        <x:v>300</x:v>
      </x:c>
      <x:c r="R13" s="53" t="n">
        <x:f>'Hypothèses'!$B$21</x:f>
        <x:v>150</x:v>
      </x:c>
      <x:c r="S13" s="53" t="n">
        <x:f>'Hypothèses'!$B$19</x:f>
        <x:v>200</x:v>
      </x:c>
      <x:c r="T13" s="53" t="n">
        <x:f>'Hypothèses'!$B$20</x:f>
        <x:v>100</x:v>
      </x:c>
      <x:c r="U13" s="53" t="n">
        <x:f>'Hypothèses'!$C$43</x:f>
        <x:v>0</x:v>
      </x:c>
      <x:c r="V13" s="53" t="n">
        <x:f>N13-SUM(O13:T13)-Z13</x:f>
        <x:v>784.3176347786875</x:v>
      </x:c>
      <x:c r="W13" s="53" t="n">
        <x:f>SUM(O13:U13)+Z13</x:f>
        <x:v>776.6612310176085</x:v>
      </x:c>
      <x:c r="X13" s="53" t="n">
        <x:f>N13-W13</x:f>
        <x:v>784.3176347786875</x:v>
      </x:c>
      <x:c r="Y13" s="53" t="n">
        <x:f>Y12+X13</x:f>
        <x:v>351.47652174077916</x:v>
      </x:c>
      <x:c r="Z13" t="n">
        <x:f>IF(M13&gt;='Hypothèses'!$B$31*'Hypothèses'!$B$30,M13*'Hypothèses'!$B$32,0)</x:f>
        <x:v>0</x:v>
      </x:c>
    </x:row>
    <x:row r="14">
      <x:c r="A14" s="50" t="n">
        <x:v>11</x:v>
      </x:c>
      <x:c r="B14" s="51" t="n">
        <x:v>46692</x:v>
      </x:c>
      <x:c r="C14" s="113" t="n">
        <x:f>'Acquisition'!$K$14</x:f>
        <x:v>4317.849994545576</x:v>
      </x:c>
      <x:c r="D14" s="52" t="n">
        <x:f>SUM($C$4:C14)</x:f>
        <x:v>33290.97492636525</x:v>
      </x:c>
      <x:c r="E14" s="52" t="n">
        <x:f>C4*'Cohortes MAU'!$D$14+C5*'Cohortes MAU'!$D$13+C6*'Cohortes MAU'!$D$12+C7*'Cohortes MAU'!$D$11+C8*'Cohortes MAU'!$D$10+C9*'Cohortes MAU'!$D$9+C10*'Cohortes MAU'!$D$8+C11*'Cohortes MAU'!$D$7+C12*'Cohortes MAU'!$D$6+C13*'Cohortes MAU'!$D$5+C14*'Cohortes MAU'!$D$4</x:f>
        <x:v>6658.19498527305</x:v>
      </x:c>
      <x:c r="F14" s="52" t="n">
        <x:f>C12*'Hypothèses'!$C$39</x:f>
        <x:v>92.54651051409412</x:v>
      </x:c>
      <x:c r="G14" s="52" t="n">
        <x:f>SUM($F$4:F14)</x:f>
        <x:v>624.3778919402703</x:v>
      </x:c>
      <x:c r="H14" s="52" t="n">
        <x:f>C11*'Hypothèses'!$C$40</x:f>
        <x:v>17.13824268779521</x:v>
      </x:c>
      <x:c r="I14" s="52" t="n">
        <x:f>G13*('Hypothèses'!$C$41/12)</x:f>
        <x:v>0.8863856357102936</x:v>
      </x:c>
      <x:c r="J14" s="52" t="n">
        <x:v>0</x:v>
      </x:c>
      <x:c r="K14" s="52" t="n">
        <x:v>0</x:v>
      </x:c>
      <x:c r="L14" s="52" t="n">
        <x:f>SUM(H4:K14)</x:f>
        <x:v>34.63693849959084</x:v>
      </x:c>
      <x:c r="M14" s="53" t="n">
        <x:f>F14*'Hypothèses'!$B$6+H14*'Hypothèses'!$B$7+I14*'Hypothèses'!$B$8+J14*'Hypothèses'!$B$7+K14*'Hypothèses'!$B$8</x:f>
        <x:v>2381.6994922415684</x:v>
      </x:c>
      <x:c r="N14" s="53" t="n">
        <x:f>M14/(1+'Hypothèses'!$B$9)*(1-'Hypothèses'!$B$10)</x:f>
        <x:v>1687.0371403377776</x:v>
      </x:c>
      <x:c r="O14" s="53" t="n">
        <x:f>(MAX(MIN(E14-'Hypothèses'!$B$24,'Hypothèses'!$B$25-'Hypothèses'!$B$24),0)/1000*'Hypothèses'!$B$26+MAX(MIN(E14-'Hypothèses'!$B$25,'Hypothèses'!$B$27-'Hypothèses'!$B$25),0)/1000*'Hypothèses'!$B$28+MAX(E14-'Hypothèses'!$B$27,0)/1000*'Hypothèses'!$B$29)*'Hypothèses'!$B$30</x:f>
        <x:v>0</x:v>
      </x:c>
      <x:c r="P14" s="53" t="n">
        <x:f>IF(A14&gt;='Hypothèses'!$B$12,'Hypothèses'!$B$15,0)+L14*'Hypothèses'!$B$16</x:f>
        <x:v>28.463693849959085</x:v>
      </x:c>
      <x:c r="Q14" s="53" t="n">
        <x:f>MAX(N14*'Hypothèses'!$B$17,'Hypothèses'!$B$18)+'Acquisition'!$H$14</x:f>
        <x:v>300</x:v>
      </x:c>
      <x:c r="R14" s="53" t="n">
        <x:f>'Hypothèses'!$B$21</x:f>
        <x:v>150</x:v>
      </x:c>
      <x:c r="S14" s="53" t="n">
        <x:f>'Hypothèses'!$B$19</x:f>
        <x:v>200</x:v>
      </x:c>
      <x:c r="T14" s="53" t="n">
        <x:f>'Hypothèses'!$B$20</x:f>
        <x:v>100</x:v>
      </x:c>
      <x:c r="U14" s="53" t="n">
        <x:f>'Hypothèses'!$C$43</x:f>
        <x:v>0</x:v>
      </x:c>
      <x:c r="V14" s="53" t="n">
        <x:f>N14-SUM(O14:T14)-Z14</x:f>
        <x:v>908.5734464878185</x:v>
      </x:c>
      <x:c r="W14" s="53" t="n">
        <x:f>SUM(O14:U14)+Z14</x:f>
        <x:v>778.4636938499591</x:v>
      </x:c>
      <x:c r="X14" s="53" t="n">
        <x:f>N14-W14</x:f>
        <x:v>908.5734464878185</x:v>
      </x:c>
      <x:c r="Y14" s="53" t="n">
        <x:f>Y13+X14</x:f>
        <x:v>1260.0499682285977</x:v>
      </x:c>
      <x:c r="Z14" t="n">
        <x:f>IF(M14&gt;='Hypothèses'!$B$31*'Hypothèses'!$B$30,M14*'Hypothèses'!$B$32,0)</x:f>
        <x:v>0</x:v>
      </x:c>
    </x:row>
    <x:row r="15">
      <x:c r="A15" s="50" t="n">
        <x:v>12</x:v>
      </x:c>
      <x:c r="B15" s="51" t="n">
        <x:v>46722</x:v>
      </x:c>
      <x:c r="C15" s="113" t="n">
        <x:f>'Acquisition'!$K$15</x:f>
        <x:v>4663.277994109222</x:v>
      </x:c>
      <x:c r="D15" s="52" t="n">
        <x:f>SUM($C$4:C15)</x:f>
        <x:v>37954.25292047447</x:v>
      </x:c>
      <x:c r="E15" s="52" t="n">
        <x:f>C4*'Cohortes MAU'!$D$15+C5*'Cohortes MAU'!$D$14+C6*'Cohortes MAU'!$D$13+C7*'Cohortes MAU'!$D$12+C8*'Cohortes MAU'!$D$11+C9*'Cohortes MAU'!$D$10+C10*'Cohortes MAU'!$D$9+C11*'Cohortes MAU'!$D$8+C12*'Cohortes MAU'!$D$7+C13*'Cohortes MAU'!$D$6+C14*'Cohortes MAU'!$D$5+C15*'Cohortes MAU'!$D$4</x:f>
        <x:v>7590.850584094895</x:v>
      </x:c>
      <x:c r="F15" s="52" t="n">
        <x:f>C13*'Hypothèses'!$C$39</x:f>
        <x:v>99.95023135522166</x:v>
      </x:c>
      <x:c r="G15" s="52" t="n">
        <x:f>SUM($F$4:F15)</x:f>
        <x:v>724.3281232954919</x:v>
      </x:c>
      <x:c r="H15" s="52" t="n">
        <x:f>C12*'Hypothèses'!$C$40</x:f>
        <x:v>18.509302102818825</x:v>
      </x:c>
      <x:c r="I15" s="52" t="n">
        <x:f>G14*('Hypothèses'!$C$41/12)</x:f>
        <x:v>1.0406298199004504</x:v>
      </x:c>
      <x:c r="J15" s="52" t="n">
        <x:v>0</x:v>
      </x:c>
      <x:c r="K15" s="52" t="n">
        <x:v>0</x:v>
      </x:c>
      <x:c r="L15" s="52" t="n">
        <x:f>SUM(H4:K15)</x:f>
        <x:v>54.186870422310115</x:v>
      </x:c>
      <x:c r="M15" s="53" t="n">
        <x:f>F15*'Hypothèses'!$B$6+H15*'Hypothèses'!$B$7+I15*'Hypothèses'!$B$8+J15*'Hypothèses'!$B$7+K15*'Hypothèses'!$B$8</x:f>
        <x:v>2573.901284954228</x:v>
      </x:c>
      <x:c r="N15" s="53" t="n">
        <x:f>M15/(1+'Hypothèses'!$B$9)*(1-'Hypothèses'!$B$10)</x:f>
        <x:v>1823.180076842578</x:v>
      </x:c>
      <x:c r="O15" s="53" t="n">
        <x:f>(MAX(MIN(E15-'Hypothèses'!$B$24,'Hypothèses'!$B$25-'Hypothèses'!$B$24),0)/1000*'Hypothèses'!$B$26+MAX(MIN(E15-'Hypothèses'!$B$25,'Hypothèses'!$B$27-'Hypothèses'!$B$25),0)/1000*'Hypothèses'!$B$28+MAX(E15-'Hypothèses'!$B$27,0)/1000*'Hypothèses'!$B$29)*'Hypothèses'!$B$30</x:f>
        <x:v>0</x:v>
      </x:c>
      <x:c r="P15" s="53" t="n">
        <x:f>IF(A15&gt;='Hypothèses'!$B$12,'Hypothèses'!$B$15,0)+L15*'Hypothèses'!$B$16</x:f>
        <x:v>30.418687042231014</x:v>
      </x:c>
      <x:c r="Q15" s="53" t="n">
        <x:f>MAX(N15*'Hypothèses'!$B$17,'Hypothèses'!$B$18)+'Acquisition'!$H$15</x:f>
        <x:v>300</x:v>
      </x:c>
      <x:c r="R15" s="53" t="n">
        <x:f>'Hypothèses'!$B$21</x:f>
        <x:v>150</x:v>
      </x:c>
      <x:c r="S15" s="53" t="n">
        <x:f>'Hypothèses'!$B$19</x:f>
        <x:v>200</x:v>
      </x:c>
      <x:c r="T15" s="53" t="n">
        <x:f>'Hypothèses'!$B$20</x:f>
        <x:v>100</x:v>
      </x:c>
      <x:c r="U15" s="53" t="n">
        <x:f>'Hypothèses'!$C$43</x:f>
        <x:v>0</x:v>
      </x:c>
      <x:c r="V15" s="53" t="n">
        <x:f>N15-SUM(O15:T15)-Z15</x:f>
        <x:v>1017.0223769508046</x:v>
      </x:c>
      <x:c r="W15" s="53" t="n">
        <x:f>SUM(O15:U15)+Z15</x:f>
        <x:v>806.1576998917733</x:v>
      </x:c>
      <x:c r="X15" s="53" t="n">
        <x:f>N15-W15</x:f>
        <x:v>1017.0223769508048</x:v>
      </x:c>
      <x:c r="Y15" s="53" t="n">
        <x:f>Y14+X15</x:f>
        <x:v>2277.0723451794024</x:v>
      </x:c>
      <x:c r="Z15" t="n">
        <x:f>IF(M15&gt;='Hypothèses'!$B$31*'Hypothèses'!$B$30,M15*'Hypothèses'!$B$32,0)</x:f>
        <x:v>25.739012849542277</x:v>
      </x:c>
    </x:row>
    <x:row r="16">
      <x:c r="A16" s="50" t="n">
        <x:v>13</x:v>
      </x:c>
      <x:c r="B16" s="51" t="n">
        <x:v>46753</x:v>
      </x:c>
      <x:c r="C16" s="113" t="n">
        <x:f>'Acquisition'!$K$16</x:f>
        <x:v>4943.074673755776</x:v>
      </x:c>
      <x:c r="D16" s="52" t="n">
        <x:f>SUM($C$4:C16)</x:f>
        <x:v>42897.32759423025</x:v>
      </x:c>
      <x:c r="E16" s="52" t="n">
        <x:f>C4*'Cohortes MAU'!$D$16+C5*'Cohortes MAU'!$D$15+C6*'Cohortes MAU'!$D$14+C7*'Cohortes MAU'!$D$13+C8*'Cohortes MAU'!$D$12+C9*'Cohortes MAU'!$D$11+C10*'Cohortes MAU'!$D$10+C11*'Cohortes MAU'!$D$9+C12*'Cohortes MAU'!$D$8+C13*'Cohortes MAU'!$D$7+C14*'Cohortes MAU'!$D$6+C15*'Cohortes MAU'!$D$5+C16*'Cohortes MAU'!$D$4</x:f>
        <x:v>8579.46551884605</x:v>
      </x:c>
      <x:c r="F16" s="52" t="n">
        <x:f>C14*'Hypothèses'!$C$39</x:f>
        <x:v>107.94624986363941</x:v>
      </x:c>
      <x:c r="G16" s="52" t="n">
        <x:f>SUM($F$4:F16)</x:f>
        <x:v>832.2743731591313</x:v>
      </x:c>
      <x:c r="H16" s="52" t="n">
        <x:f>C13*'Hypothèses'!$C$40</x:f>
        <x:v>19.99004627104433</x:v>
      </x:c>
      <x:c r="I16" s="52" t="n">
        <x:f>G15*('Hypothèses'!$C$41/12)</x:f>
        <x:v>1.2072135388258198</x:v>
      </x:c>
      <x:c r="J16" s="52" t="n">
        <x:f>(H4+J4)*'Hypothèses'!$C$42</x:f>
        <x:v>0</x:v>
      </x:c>
      <x:c r="K16" s="52" t="n">
        <x:f>(I4+K4)*'Hypothèses'!$C$42</x:f>
        <x:v>0</x:v>
      </x:c>
      <x:c r="L16" s="52" t="n">
        <x:f>SUM(H5:K16)</x:f>
        <x:v>75.38413023218027</x:v>
      </x:c>
      <x:c r="M16" s="53" t="n">
        <x:f>F16*'Hypothèses'!$B$6+H16*'Hypothèses'!$B$7+I16*'Hypothèses'!$B$8+J16*'Hypothèses'!$B$7+K16*'Hypothèses'!$B$8</x:f>
        <x:v>2781.479221083899</x:v>
      </x:c>
      <x:c r="N16" s="53" t="n">
        <x:f>M16/(1+'Hypothèses'!$B$9)*(1-'Hypothèses'!$B$10)</x:f>
        <x:v>1970.2144482677618</x:v>
      </x:c>
      <x:c r="O16" s="53" t="n">
        <x:f>(MAX(MIN(E16-'Hypothèses'!$B$24,'Hypothèses'!$B$25-'Hypothèses'!$B$24),0)/1000*'Hypothèses'!$B$26+MAX(MIN(E16-'Hypothèses'!$B$25,'Hypothèses'!$B$27-'Hypothèses'!$B$25),0)/1000*'Hypothèses'!$B$28+MAX(E16-'Hypothèses'!$B$27,0)/1000*'Hypothèses'!$B$29)*'Hypothèses'!$B$30</x:f>
        <x:v>0</x:v>
      </x:c>
      <x:c r="P16" s="53" t="n">
        <x:f>IF(A16&gt;='Hypothèses'!$B$12,'Hypothèses'!$B$15,0)+L16*'Hypothèses'!$B$16</x:f>
        <x:v>32.53841302321803</x:v>
      </x:c>
      <x:c r="Q16" s="53" t="n">
        <x:f>MAX(N16*'Hypothèses'!$B$17,'Hypothèses'!$B$18)+'Acquisition'!$H$16</x:f>
        <x:v>300</x:v>
      </x:c>
      <x:c r="R16" s="53" t="n">
        <x:f>'Hypothèses'!$B$22</x:f>
        <x:v>250</x:v>
      </x:c>
      <x:c r="S16" s="53" t="n">
        <x:f>'Hypothèses'!$B$19</x:f>
        <x:v>200</x:v>
      </x:c>
      <x:c r="T16" s="53" t="n">
        <x:f>'Hypothèses'!$B$20</x:f>
        <x:v>100</x:v>
      </x:c>
      <x:c r="U16" s="53" t="n">
        <x:f>'Hypothèses'!$C$44</x:f>
        <x:v>2000</x:v>
      </x:c>
      <x:c r="V16" s="53" t="n">
        <x:f>N16-SUM(O16:T16)-Z16</x:f>
        <x:v>1059.8612430337048</x:v>
      </x:c>
      <x:c r="W16" s="53" t="n">
        <x:f>SUM(O16:U16)+Z16</x:f>
        <x:v>2910.353205234057</x:v>
      </x:c>
      <x:c r="X16" s="53" t="n">
        <x:f>N16-W16</x:f>
        <x:v>-940.1387569662952</x:v>
      </x:c>
      <x:c r="Y16" s="53" t="n">
        <x:f>Y15+X16</x:f>
        <x:v>1336.9335882131072</x:v>
      </x:c>
      <x:c r="Z16" t="n">
        <x:f>IF(M16&gt;='Hypothèses'!$B$31*'Hypothèses'!$B$30,M16*'Hypothèses'!$B$32,0)</x:f>
        <x:v>27.81479221083899</x:v>
      </x:c>
    </x:row>
    <x:row r="17">
      <x:c r="A17" s="50" t="n">
        <x:v>14</x:v>
      </x:c>
      <x:c r="B17" s="51" t="n">
        <x:v>46784</x:v>
      </x:c>
      <x:c r="C17" s="113" t="n">
        <x:f>'Acquisition'!$K$17</x:f>
        <x:v>5239.659154181122</x:v>
      </x:c>
      <x:c r="D17" s="52" t="n">
        <x:f>SUM($C$4:C17)</x:f>
        <x:v>48136.98674841137</x:v>
      </x:c>
      <x:c r="E17" s="52" t="n">
        <x:f>C4*'Cohortes MAU'!$D$17+C5*'Cohortes MAU'!$D$16+C6*'Cohortes MAU'!$D$15+C7*'Cohortes MAU'!$D$14+C8*'Cohortes MAU'!$D$13+C9*'Cohortes MAU'!$D$12+C10*'Cohortes MAU'!$D$11+C11*'Cohortes MAU'!$D$10+C12*'Cohortes MAU'!$D$9+C13*'Cohortes MAU'!$D$8+C14*'Cohortes MAU'!$D$7+C15*'Cohortes MAU'!$D$6+C16*'Cohortes MAU'!$D$5+C17*'Cohortes MAU'!$D$4</x:f>
        <x:v>9627.397349682273</x:v>
      </x:c>
      <x:c r="F17" s="52" t="n">
        <x:f>C15*'Hypothèses'!$C$39</x:f>
        <x:v>116.58194985273056</x:v>
      </x:c>
      <x:c r="G17" s="52" t="n">
        <x:f>SUM($F$4:F17)</x:f>
        <x:v>948.8563230118618</x:v>
      </x:c>
      <x:c r="H17" s="52" t="n">
        <x:f>C14*'Hypothèses'!$C$40</x:f>
        <x:v>21.58924997272788</x:v>
      </x:c>
      <x:c r="I17" s="52" t="n">
        <x:f>G16*('Hypothèses'!$C$41/12)</x:f>
        <x:v>1.387123955265219</x:v>
      </x:c>
      <x:c r="J17" s="52" t="n">
        <x:f>(H5+J5)*'Hypothèses'!$C$42</x:f>
        <x:v>0</x:v>
      </x:c>
      <x:c r="K17" s="52" t="n">
        <x:f>(I5+K5)*'Hypothèses'!$C$42</x:f>
        <x:v>0</x:v>
      </x:c>
      <x:c r="L17" s="52" t="n">
        <x:f>SUM(H6:K17)</x:f>
        <x:v>98.36050416017338</x:v>
      </x:c>
      <x:c r="M17" s="53" t="n">
        <x:f>F17*'Hypothèses'!$B$6+H17*'Hypothèses'!$B$7+I17*'Hypothèses'!$B$8+J17*'Hypothèses'!$B$7+K17*'Hypothèses'!$B$8</x:f>
        <x:v>3005.6633921039443</x:v>
      </x:c>
      <x:c r="N17" s="53" t="n">
        <x:f>M17/(1+'Hypothèses'!$B$9)*(1-'Hypothèses'!$B$10)</x:f>
        <x:v>2129.0115694069605</x:v>
      </x:c>
      <x:c r="O17" s="53" t="n">
        <x:f>(MAX(MIN(E17-'Hypothèses'!$B$24,'Hypothèses'!$B$25-'Hypothèses'!$B$24),0)/1000*'Hypothèses'!$B$26+MAX(MIN(E17-'Hypothèses'!$B$25,'Hypothèses'!$B$27-'Hypothèses'!$B$25),0)/1000*'Hypothèses'!$B$28+MAX(E17-'Hypothèses'!$B$27,0)/1000*'Hypothèses'!$B$29)*'Hypothèses'!$B$30</x:f>
        <x:v>0</x:v>
      </x:c>
      <x:c r="P17" s="53" t="n">
        <x:f>IF(A17&gt;='Hypothèses'!$B$12,'Hypothèses'!$B$15,0)+L17*'Hypothèses'!$B$16</x:f>
        <x:v>34.836050416017336</x:v>
      </x:c>
      <x:c r="Q17" s="53" t="n">
        <x:f>MAX(N17*'Hypothèses'!$B$17,'Hypothèses'!$B$18)+'Acquisition'!$H$17</x:f>
        <x:v>319.35173541104405</x:v>
      </x:c>
      <x:c r="R17" s="53" t="n">
        <x:f>'Hypothèses'!$B$22</x:f>
        <x:v>250</x:v>
      </x:c>
      <x:c r="S17" s="53" t="n">
        <x:f>'Hypothèses'!$B$19</x:f>
        <x:v>200</x:v>
      </x:c>
      <x:c r="T17" s="53" t="n">
        <x:f>'Hypothèses'!$B$20</x:f>
        <x:v>100</x:v>
      </x:c>
      <x:c r="U17" s="53" t="n">
        <x:f>'Hypothèses'!$C$44</x:f>
        <x:v>2000</x:v>
      </x:c>
      <x:c r="V17" s="53" t="n">
        <x:f>N17-SUM(O17:T17)-Z17</x:f>
        <x:v>1194.7671496588596</x:v>
      </x:c>
      <x:c r="W17" s="53" t="n">
        <x:f>SUM(O17:U17)+Z17</x:f>
        <x:v>2934.244419748101</x:v>
      </x:c>
      <x:c r="X17" s="53" t="n">
        <x:f>N17-W17</x:f>
        <x:v>-805.2328503411404</x:v>
      </x:c>
      <x:c r="Y17" s="53" t="n">
        <x:f>Y16+X17</x:f>
        <x:v>531.7007378719668</x:v>
      </x:c>
      <x:c r="Z17" t="n">
        <x:f>IF(M17&gt;='Hypothèses'!$B$31*'Hypothèses'!$B$30,M17*'Hypothèses'!$B$32,0)</x:f>
        <x:v>30.05663392103944</x:v>
      </x:c>
    </x:row>
    <x:row r="18">
      <x:c r="A18" s="50" t="n">
        <x:v>15</x:v>
      </x:c>
      <x:c r="B18" s="51" t="n">
        <x:v>46813</x:v>
      </x:c>
      <x:c r="C18" s="113" t="n">
        <x:f>'Acquisition'!$K$18</x:f>
        <x:v>5554.03870343199</x:v>
      </x:c>
      <x:c r="D18" s="52" t="n">
        <x:f>SUM($C$4:C18)</x:f>
        <x:v>53691.025451843365</x:v>
      </x:c>
      <x:c r="E18" s="52" t="n">
        <x:f>C4*'Cohortes MAU'!$D$18+C5*'Cohortes MAU'!$D$17+C6*'Cohortes MAU'!$D$16+C7*'Cohortes MAU'!$D$15+C8*'Cohortes MAU'!$D$14+C9*'Cohortes MAU'!$D$13+C10*'Cohortes MAU'!$D$12+C11*'Cohortes MAU'!$D$11+C12*'Cohortes MAU'!$D$10+C13*'Cohortes MAU'!$D$9+C14*'Cohortes MAU'!$D$8+C15*'Cohortes MAU'!$D$7+C16*'Cohortes MAU'!$D$6+C17*'Cohortes MAU'!$D$5+C18*'Cohortes MAU'!$D$4</x:f>
        <x:v>10738.20509036867</x:v>
      </x:c>
      <x:c r="F18" s="52" t="n">
        <x:f>C16*'Hypothèses'!$C$39</x:f>
        <x:v>123.5768668438944</x:v>
      </x:c>
      <x:c r="G18" s="52" t="n">
        <x:f>SUM($F$4:F18)</x:f>
        <x:v>1072.4331898557562</x:v>
      </x:c>
      <x:c r="H18" s="52" t="n">
        <x:f>C15*'Hypothèses'!$C$40</x:f>
        <x:v>23.316389970546112</x:v>
      </x:c>
      <x:c r="I18" s="52" t="n">
        <x:f>G17*('Hypothèses'!$C$41/12)</x:f>
        <x:v>1.5814272050197697</x:v>
      </x:c>
      <x:c r="J18" s="52" t="n">
        <x:f>(H6+J6)*'Hypothèses'!$C$42</x:f>
        <x:v>0</x:v>
      </x:c>
      <x:c r="K18" s="52" t="n">
        <x:f>(I6+K6)*'Hypothèses'!$C$42</x:f>
        <x:v>0</x:v>
      </x:c>
      <x:c r="L18" s="52" t="n">
        <x:f>SUM(H7:K18)</x:f>
        <x:v>123.25832133573925</x:v>
      </x:c>
      <x:c r="M18" s="53" t="n">
        <x:f>F18*'Hypothèses'!$B$6+H18*'Hypothèses'!$B$7+I18*'Hypothèses'!$B$8+J18*'Hypothèses'!$B$7+K18*'Hypothèses'!$B$8</x:f>
        <x:v>3201.1728332544717</x:v>
      </x:c>
      <x:c r="N18" s="53" t="n">
        <x:f>M18/(1+'Hypothèses'!$B$9)*(1-'Hypothèses'!$B$10)</x:f>
        <x:v>2267.497423555251</x:v>
      </x:c>
      <x:c r="O18" s="53" t="n">
        <x:f>(MAX(MIN(E18-'Hypothèses'!$B$24,'Hypothèses'!$B$25-'Hypothèses'!$B$24),0)/1000*'Hypothèses'!$B$26+MAX(MIN(E18-'Hypothèses'!$B$25,'Hypothèses'!$B$27-'Hypothèses'!$B$25),0)/1000*'Hypothèses'!$B$28+MAX(E18-'Hypothèses'!$B$27,0)/1000*'Hypothèses'!$B$29)*'Hypothèses'!$B$30</x:f>
        <x:v>0</x:v>
      </x:c>
      <x:c r="P18" s="53" t="n">
        <x:f>IF(A18&gt;='Hypothèses'!$B$12,'Hypothèses'!$B$15,0)+L18*'Hypothèses'!$B$16</x:f>
        <x:v>37.325832133573925</x:v>
      </x:c>
      <x:c r="Q18" s="53" t="n">
        <x:f>MAX(N18*'Hypothèses'!$B$17,'Hypothèses'!$B$18)+'Acquisition'!$H$18</x:f>
        <x:v>340.12461353328763</x:v>
      </x:c>
      <x:c r="R18" s="53" t="n">
        <x:f>'Hypothèses'!$B$22</x:f>
        <x:v>250</x:v>
      </x:c>
      <x:c r="S18" s="53" t="n">
        <x:f>'Hypothèses'!$B$19</x:f>
        <x:v>200</x:v>
      </x:c>
      <x:c r="T18" s="53" t="n">
        <x:f>'Hypothèses'!$B$20</x:f>
        <x:v>100</x:v>
      </x:c>
      <x:c r="U18" s="53" t="n">
        <x:f>'Hypothèses'!$C$44</x:f>
        <x:v>2000</x:v>
      </x:c>
      <x:c r="V18" s="53" t="n">
        <x:f>N18-SUM(O18:T18)-Z18</x:f>
        <x:v>1308.0352495558448</x:v>
      </x:c>
      <x:c r="W18" s="53" t="n">
        <x:f>SUM(O18:U18)+Z18</x:f>
        <x:v>2959.4621739994063</x:v>
      </x:c>
      <x:c r="X18" s="53" t="n">
        <x:f>N18-W18</x:f>
        <x:v>-691.9647504441555</x:v>
      </x:c>
      <x:c r="Y18" s="53" t="n">
        <x:f>Y17+X18</x:f>
        <x:v>-160.26401257218868</x:v>
      </x:c>
      <x:c r="Z18" t="n">
        <x:f>IF(M18&gt;='Hypothèses'!$B$31*'Hypothèses'!$B$30,M18*'Hypothèses'!$B$32,0)</x:f>
        <x:v>32.01172833254472</x:v>
      </x:c>
    </x:row>
    <x:row r="19">
      <x:c r="A19" s="50" t="n">
        <x:v>16</x:v>
      </x:c>
      <x:c r="B19" s="51" t="n">
        <x:v>46844</x:v>
      </x:c>
      <x:c r="C19" s="113" t="n">
        <x:f>'Acquisition'!$K$19</x:f>
        <x:v>5887.28102563791</x:v>
      </x:c>
      <x:c r="D19" s="52" t="n">
        <x:f>SUM($C$4:C19)</x:f>
        <x:v>59578.306477481274</x:v>
      </x:c>
      <x:c r="E19" s="52" t="n">
        <x:f>C4*'Cohortes MAU'!$D$19+C5*'Cohortes MAU'!$D$18+C6*'Cohortes MAU'!$D$17+C7*'Cohortes MAU'!$D$16+C8*'Cohortes MAU'!$D$15+C9*'Cohortes MAU'!$D$14+C10*'Cohortes MAU'!$D$13+C11*'Cohortes MAU'!$D$12+C12*'Cohortes MAU'!$D$11+C13*'Cohortes MAU'!$D$10+C14*'Cohortes MAU'!$D$9+C15*'Cohortes MAU'!$D$8+C16*'Cohortes MAU'!$D$7+C17*'Cohortes MAU'!$D$6+C18*'Cohortes MAU'!$D$5+C19*'Cohortes MAU'!$D$4</x:f>
        <x:v>11915.661295496253</x:v>
      </x:c>
      <x:c r="F19" s="52" t="n">
        <x:f>C17*'Hypothèses'!$C$39</x:f>
        <x:v>130.99147885452805</x:v>
      </x:c>
      <x:c r="G19" s="52" t="n">
        <x:f>SUM($F$4:F19)</x:f>
        <x:v>1203.424668710284</x:v>
      </x:c>
      <x:c r="H19" s="52" t="n">
        <x:f>C16*'Hypothèses'!$C$40</x:f>
        <x:v>24.715373368778877</x:v>
      </x:c>
      <x:c r="I19" s="52" t="n">
        <x:f>G18*('Hypothèses'!$C$41/12)</x:f>
        <x:v>1.7873886497595937</x:v>
      </x:c>
      <x:c r="J19" s="52" t="n">
        <x:f>(H7+J7)*'Hypothèses'!$C$42</x:f>
        <x:v>0</x:v>
      </x:c>
      <x:c r="K19" s="52" t="n">
        <x:f>(I7+K7)*'Hypothèses'!$C$42</x:f>
        <x:v>0</x:v>
      </x:c>
      <x:c r="L19" s="52" t="n">
        <x:f>SUM(H8:K19)</x:f>
        <x:v>149.76108335427773</x:v>
      </x:c>
      <x:c r="M19" s="53" t="n">
        <x:f>F19*'Hypothèses'!$B$6+H19*'Hypothèses'!$B$7+I19*'Hypothèses'!$B$8+J19*'Hypothèses'!$B$7+K19*'Hypothèses'!$B$8</x:f>
        <x:v>3395.4636087403883</x:v>
      </x:c>
      <x:c r="N19" s="53" t="n">
        <x:f>M19/(1+'Hypothèses'!$B$9)*(1-'Hypothèses'!$B$10)</x:f>
        <x:v>2405.1200561911082</x:v>
      </x:c>
      <x:c r="O19" s="53" t="n">
        <x:f>(MAX(MIN(E19-'Hypothèses'!$B$24,'Hypothèses'!$B$25-'Hypothèses'!$B$24),0)/1000*'Hypothèses'!$B$26+MAX(MIN(E19-'Hypothèses'!$B$25,'Hypothèses'!$B$27-'Hypothèses'!$B$25),0)/1000*'Hypothèses'!$B$28+MAX(E19-'Hypothèses'!$B$27,0)/1000*'Hypothèses'!$B$29)*'Hypothèses'!$B$30</x:f>
        <x:v>0</x:v>
      </x:c>
      <x:c r="P19" s="53" t="n">
        <x:f>IF(A19&gt;='Hypothèses'!$B$12,'Hypothèses'!$B$15,0)+L19*'Hypothèses'!$B$16</x:f>
        <x:v>39.976108335427774</x:v>
      </x:c>
      <x:c r="Q19" s="53" t="n">
        <x:f>MAX(N19*'Hypothèses'!$B$17,'Hypothèses'!$B$18)+'Acquisition'!$H$19</x:f>
        <x:v>360.76800842866623</x:v>
      </x:c>
      <x:c r="R19" s="53" t="n">
        <x:f>'Hypothèses'!$B$22</x:f>
        <x:v>250</x:v>
      </x:c>
      <x:c r="S19" s="53" t="n">
        <x:f>'Hypothèses'!$B$19</x:f>
        <x:v>200</x:v>
      </x:c>
      <x:c r="T19" s="53" t="n">
        <x:f>'Hypothèses'!$B$20</x:f>
        <x:v>100</x:v>
      </x:c>
      <x:c r="U19" s="53" t="n">
        <x:f>'Hypothèses'!$C$44</x:f>
        <x:v>2000</x:v>
      </x:c>
      <x:c r="V19" s="53" t="n">
        <x:f>N19-SUM(O19:T19)-Z19</x:f>
        <x:v>1420.4213033396102</x:v>
      </x:c>
      <x:c r="W19" s="53" t="n">
        <x:f>SUM(O19:U19)+Z19</x:f>
        <x:v>2984.698752851498</x:v>
      </x:c>
      <x:c r="X19" s="53" t="n">
        <x:f>N19-W19</x:f>
        <x:v>-579.5786966603896</x:v>
      </x:c>
      <x:c r="Y19" s="53" t="n">
        <x:f>Y18+X19</x:f>
        <x:v>-739.8427092325783</x:v>
      </x:c>
      <x:c r="Z19" t="n">
        <x:f>IF(M19&gt;='Hypothèses'!$B$31*'Hypothèses'!$B$30,M19*'Hypothèses'!$B$32,0)</x:f>
        <x:v>33.954636087403884</x:v>
      </x:c>
    </x:row>
    <x:row r="20">
      <x:c r="A20" s="50" t="n">
        <x:v>17</x:v>
      </x:c>
      <x:c r="B20" s="51" t="n">
        <x:v>46874</x:v>
      </x:c>
      <x:c r="C20" s="113" t="n">
        <x:f>'Acquisition'!$K$20</x:f>
        <x:v>6240.517887176185</x:v>
      </x:c>
      <x:c r="D20" s="52" t="n">
        <x:f>SUM($C$4:C20)</x:f>
        <x:v>65818.82436465746</x:v>
      </x:c>
      <x:c r="E20" s="52" t="n">
        <x:f>C4*'Cohortes MAU'!$D$20+C5*'Cohortes MAU'!$D$19+C6*'Cohortes MAU'!$D$18+C7*'Cohortes MAU'!$D$17+C8*'Cohortes MAU'!$D$16+C9*'Cohortes MAU'!$D$15+C10*'Cohortes MAU'!$D$14+C11*'Cohortes MAU'!$D$13+C12*'Cohortes MAU'!$D$12+C13*'Cohortes MAU'!$D$11+C14*'Cohortes MAU'!$D$10+C15*'Cohortes MAU'!$D$9+C16*'Cohortes MAU'!$D$8+C17*'Cohortes MAU'!$D$7+C18*'Cohortes MAU'!$D$6+C19*'Cohortes MAU'!$D$5+C20*'Cohortes MAU'!$D$4</x:f>
        <x:v>13163.76487293149</x:v>
      </x:c>
      <x:c r="F20" s="52" t="n">
        <x:f>C18*'Hypothèses'!$C$39</x:f>
        <x:v>138.85096758579976</x:v>
      </x:c>
      <x:c r="G20" s="52" t="n">
        <x:f>SUM($F$4:F20)</x:f>
        <x:v>1342.2756362960838</x:v>
      </x:c>
      <x:c r="H20" s="52" t="n">
        <x:f>C17*'Hypothèses'!$C$40</x:f>
        <x:v>26.198295770905613</x:v>
      </x:c>
      <x:c r="I20" s="52" t="n">
        <x:f>G19*('Hypothèses'!$C$41/12)</x:f>
        <x:v>2.005707781183807</x:v>
      </x:c>
      <x:c r="J20" s="52" t="n">
        <x:f>(H8+J8)*'Hypothèses'!$C$42</x:f>
        <x:v>0</x:v>
      </x:c>
      <x:c r="K20" s="52" t="n">
        <x:f>(I8+K8)*'Hypothèses'!$C$42</x:f>
        <x:v>0</x:v>
      </x:c>
      <x:c r="L20" s="52" t="n">
        <x:f>SUM(H9:K20)</x:f>
        <x:v>177.96508690636716</x:v>
      </x:c>
      <x:c r="M20" s="53" t="n">
        <x:f>F20*'Hypothèses'!$B$6+H20*'Hypothèses'!$B$7+I20*'Hypothèses'!$B$8+J20*'Hypothèses'!$B$7+K20*'Hypothèses'!$B$8</x:f>
        <x:v>3601.4118307554604</x:v>
      </x:c>
      <x:c r="N20" s="53" t="n">
        <x:f>M20/(1+'Hypothèses'!$B$9)*(1-'Hypothèses'!$B$10)</x:f>
        <x:v>2551.000046785118</x:v>
      </x:c>
      <x:c r="O20" s="53" t="n">
        <x:f>(MAX(MIN(E20-'Hypothèses'!$B$24,'Hypothèses'!$B$25-'Hypothèses'!$B$24),0)/1000*'Hypothèses'!$B$26+MAX(MIN(E20-'Hypothèses'!$B$25,'Hypothèses'!$B$27-'Hypothèses'!$B$25),0)/1000*'Hypothèses'!$B$28+MAX(E20-'Hypothèses'!$B$27,0)/1000*'Hypothèses'!$B$29)*'Hypothèses'!$B$30</x:f>
        <x:v>0</x:v>
      </x:c>
      <x:c r="P20" s="53" t="n">
        <x:f>IF(A20&gt;='Hypothèses'!$B$12,'Hypothèses'!$B$15,0)+L20*'Hypothèses'!$B$16</x:f>
        <x:v>42.79650869063671</x:v>
      </x:c>
      <x:c r="Q20" s="53" t="n">
        <x:f>MAX(N20*'Hypothèses'!$B$17,'Hypothèses'!$B$18)+'Acquisition'!$H$20</x:f>
        <x:v>382.6500070177677</x:v>
      </x:c>
      <x:c r="R20" s="53" t="n">
        <x:f>'Hypothèses'!$B$22</x:f>
        <x:v>250</x:v>
      </x:c>
      <x:c r="S20" s="53" t="n">
        <x:f>'Hypothèses'!$B$19</x:f>
        <x:v>200</x:v>
      </x:c>
      <x:c r="T20" s="53" t="n">
        <x:f>'Hypothèses'!$B$20</x:f>
        <x:v>100</x:v>
      </x:c>
      <x:c r="U20" s="53" t="n">
        <x:f>'Hypothèses'!$C$44</x:f>
        <x:v>2000</x:v>
      </x:c>
      <x:c r="V20" s="53" t="n">
        <x:f>N20-SUM(O20:T20)-Z20</x:f>
        <x:v>1539.5394127691588</x:v>
      </x:c>
      <x:c r="W20" s="53" t="n">
        <x:f>SUM(O20:U20)+Z20</x:f>
        <x:v>3011.460634015959</x:v>
      </x:c>
      <x:c r="X20" s="53" t="n">
        <x:f>N20-W20</x:f>
        <x:v>-460.46058723084116</x:v>
      </x:c>
      <x:c r="Y20" s="53" t="n">
        <x:f>Y19+X20</x:f>
        <x:v>-1200.3032964634194</x:v>
      </x:c>
      <x:c r="Z20" t="n">
        <x:f>IF(M20&gt;='Hypothèses'!$B$31*'Hypothèses'!$B$30,M20*'Hypothèses'!$B$32,0)</x:f>
        <x:v>36.014118307554604</x:v>
      </x:c>
    </x:row>
    <x:row r="21">
      <x:c r="A21" s="50" t="n">
        <x:v>18</x:v>
      </x:c>
      <x:c r="B21" s="51" t="n">
        <x:v>46905</x:v>
      </x:c>
      <x:c r="C21" s="113" t="n">
        <x:f>'Acquisition'!$K$21</x:f>
        <x:v>6614.948960406756</x:v>
      </x:c>
      <x:c r="D21" s="52" t="n">
        <x:f>SUM($C$4:C21)</x:f>
        <x:v>72433.7733250642</x:v>
      </x:c>
      <x:c r="E21" s="52" t="n">
        <x:f>C4*'Cohortes MAU'!$D$21+C5*'Cohortes MAU'!$D$20+C6*'Cohortes MAU'!$D$19+C7*'Cohortes MAU'!$D$18+C8*'Cohortes MAU'!$D$17+C9*'Cohortes MAU'!$D$16+C10*'Cohortes MAU'!$D$15+C11*'Cohortes MAU'!$D$14+C12*'Cohortes MAU'!$D$13+C13*'Cohortes MAU'!$D$12+C14*'Cohortes MAU'!$D$11+C15*'Cohortes MAU'!$D$10+C16*'Cohortes MAU'!$D$9+C17*'Cohortes MAU'!$D$8+C18*'Cohortes MAU'!$D$7+C19*'Cohortes MAU'!$D$6+C20*'Cohortes MAU'!$D$5+C21*'Cohortes MAU'!$D$4</x:f>
        <x:v>14486.75466501284</x:v>
      </x:c>
      <x:c r="F21" s="52" t="n">
        <x:f>C19*'Hypothèses'!$C$39</x:f>
        <x:v>147.18202564094776</x:v>
      </x:c>
      <x:c r="G21" s="52" t="n">
        <x:f>SUM($F$4:F21)</x:f>
        <x:v>1489.4576619370316</x:v>
      </x:c>
      <x:c r="H21" s="52" t="n">
        <x:f>C18*'Hypothèses'!$C$40</x:f>
        <x:v>27.770193517159953</x:v>
      </x:c>
      <x:c r="I21" s="52" t="n">
        <x:f>G20*('Hypothèses'!$C$41/12)</x:f>
        <x:v>2.2371260604934733</x:v>
      </x:c>
      <x:c r="J21" s="52" t="n">
        <x:f>(H9+J9)*'Hypothèses'!$C$42</x:f>
        <x:v>0</x:v>
      </x:c>
      <x:c r="K21" s="52" t="n">
        <x:f>(I9+K9)*'Hypothèses'!$C$42</x:f>
        <x:v>0</x:v>
      </x:c>
      <x:c r="L21" s="52" t="n">
        <x:f>SUM(H10:K21)</x:f>
        <x:v>207.97240648402058</x:v>
      </x:c>
      <x:c r="M21" s="53" t="n">
        <x:f>F21*'Hypothèses'!$B$6+H21*'Hypothèses'!$B$7+I21*'Hypothèses'!$B$8+J21*'Hypothèses'!$B$7+K21*'Hypothèses'!$B$8</x:f>
        <x:v>3819.716946091437</x:v>
      </x:c>
      <x:c r="N21" s="53" t="n">
        <x:f>M21/(1+'Hypothèses'!$B$9)*(1-'Hypothèses'!$B$10)</x:f>
        <x:v>2705.632836814768</x:v>
      </x:c>
      <x:c r="O21" s="53" t="n">
        <x:f>(MAX(MIN(E21-'Hypothèses'!$B$24,'Hypothèses'!$B$25-'Hypothèses'!$B$24),0)/1000*'Hypothèses'!$B$26+MAX(MIN(E21-'Hypothèses'!$B$25,'Hypothèses'!$B$27-'Hypothèses'!$B$25),0)/1000*'Hypothèses'!$B$28+MAX(E21-'Hypothèses'!$B$27,0)/1000*'Hypothèses'!$B$29)*'Hypothèses'!$B$30</x:f>
        <x:v>0</x:v>
      </x:c>
      <x:c r="P21" s="53" t="n">
        <x:f>IF(A21&gt;='Hypothèses'!$B$12,'Hypothèses'!$B$15,0)+L21*'Hypothèses'!$B$16</x:f>
        <x:v>45.79724064840206</x:v>
      </x:c>
      <x:c r="Q21" s="53" t="n">
        <x:f>MAX(N21*'Hypothèses'!$B$17,'Hypothèses'!$B$18)+'Acquisition'!$H$21</x:f>
        <x:v>405.8449255222152</x:v>
      </x:c>
      <x:c r="R21" s="53" t="n">
        <x:f>'Hypothèses'!$B$22</x:f>
        <x:v>250</x:v>
      </x:c>
      <x:c r="S21" s="53" t="n">
        <x:f>'Hypothèses'!$B$19</x:f>
        <x:v>200</x:v>
      </x:c>
      <x:c r="T21" s="53" t="n">
        <x:f>'Hypothèses'!$B$20</x:f>
        <x:v>100</x:v>
      </x:c>
      <x:c r="U21" s="53" t="n">
        <x:f>'Hypothèses'!$C$44</x:f>
        <x:v>2000</x:v>
      </x:c>
      <x:c r="V21" s="53" t="n">
        <x:f>N21-SUM(O21:T21)-Z21</x:f>
        <x:v>1665.7935011832362</x:v>
      </x:c>
      <x:c r="W21" s="53" t="n">
        <x:f>SUM(O21:U21)+Z21</x:f>
        <x:v>3039.8393356315314</x:v>
      </x:c>
      <x:c r="X21" s="53" t="n">
        <x:f>N21-W21</x:f>
        <x:v>-334.20649881676354</x:v>
      </x:c>
      <x:c r="Y21" s="53" t="n">
        <x:f>Y20+X21</x:f>
        <x:v>-1534.509795280183</x:v>
      </x:c>
      <x:c r="Z21" t="n">
        <x:f>IF(M21&gt;='Hypothèses'!$B$31*'Hypothèses'!$B$30,M21*'Hypothèses'!$B$32,0)</x:f>
        <x:v>38.197169460914374</x:v>
      </x:c>
    </x:row>
    <x:row r="22">
      <x:c r="A22" s="50" t="n">
        <x:v>19</x:v>
      </x:c>
      <x:c r="B22" s="51" t="n">
        <x:v>46935</x:v>
      </x:c>
      <x:c r="C22" s="113" t="n">
        <x:f>'Acquisition'!$K$22</x:f>
        <x:v>7011.845898031162</x:v>
      </x:c>
      <x:c r="D22" s="52" t="n">
        <x:f>SUM($C$4:C22)</x:f>
        <x:v>79445.61922309536</x:v>
      </x:c>
      <x:c r="E22" s="52" t="n">
        <x:f>C4*'Cohortes MAU'!$D$22+C5*'Cohortes MAU'!$D$21+C6*'Cohortes MAU'!$D$20+C7*'Cohortes MAU'!$D$19+C8*'Cohortes MAU'!$D$18+C9*'Cohortes MAU'!$D$17+C10*'Cohortes MAU'!$D$16+C11*'Cohortes MAU'!$D$15+C12*'Cohortes MAU'!$D$14+C13*'Cohortes MAU'!$D$13+C14*'Cohortes MAU'!$D$12+C15*'Cohortes MAU'!$D$11+C16*'Cohortes MAU'!$D$10+C17*'Cohortes MAU'!$D$9+C18*'Cohortes MAU'!$D$8+C19*'Cohortes MAU'!$D$7+C20*'Cohortes MAU'!$D$6+C21*'Cohortes MAU'!$D$5+C22*'Cohortes MAU'!$D$4</x:f>
        <x:v>15889.123844619073</x:v>
      </x:c>
      <x:c r="F22" s="52" t="n">
        <x:f>C20*'Hypothèses'!$C$39</x:f>
        <x:v>156.01294717940462</x:v>
      </x:c>
      <x:c r="G22" s="52" t="n">
        <x:f>SUM($F$4:F22)</x:f>
        <x:v>1645.4706091164362</x:v>
      </x:c>
      <x:c r="H22" s="52" t="n">
        <x:f>C19*'Hypothèses'!$C$40</x:f>
        <x:v>29.43640512818955</x:v>
      </x:c>
      <x:c r="I22" s="52" t="n">
        <x:f>G21*('Hypothèses'!$C$41/12)</x:f>
        <x:v>2.4824294365617194</x:v>
      </x:c>
      <x:c r="J22" s="52" t="n">
        <x:f>(H10+J10)*'Hypothèses'!$C$42</x:f>
        <x:v>0</x:v>
      </x:c>
      <x:c r="K22" s="52" t="n">
        <x:f>(I10+K10)*'Hypothèses'!$C$42</x:f>
        <x:v>0</x:v>
      </x:c>
      <x:c r="L22" s="52" t="n">
        <x:f>SUM(H11:K22)</x:f>
        <x:v>239.89124104877183</x:v>
      </x:c>
      <x:c r="M22" s="53" t="n">
        <x:f>F22*'Hypothèses'!$B$6+H22*'Hypothèses'!$B$7+I22*'Hypothèses'!$B$8+J22*'Hypothèses'!$B$7+K22*'Hypothèses'!$B$8</x:f>
        <x:v>4051.120368347572</x:v>
      </x:c>
      <x:c r="N22" s="53" t="n">
        <x:f>M22/(1+'Hypothèses'!$B$9)*(1-'Hypothèses'!$B$10)</x:f>
        <x:v>2869.543594246197</x:v>
      </x:c>
      <x:c r="O22" s="53" t="n">
        <x:f>(MAX(MIN(E22-'Hypothèses'!$B$24,'Hypothèses'!$B$25-'Hypothèses'!$B$24),0)/1000*'Hypothèses'!$B$26+MAX(MIN(E22-'Hypothèses'!$B$25,'Hypothèses'!$B$27-'Hypothèses'!$B$25),0)/1000*'Hypothèses'!$B$28+MAX(E22-'Hypothèses'!$B$27,0)/1000*'Hypothèses'!$B$29)*'Hypothèses'!$B$30</x:f>
        <x:v>0</x:v>
      </x:c>
      <x:c r="P22" s="53" t="n">
        <x:f>IF(A22&gt;='Hypothèses'!$B$12,'Hypothèses'!$B$15,0)+L22*'Hypothèses'!$B$16</x:f>
        <x:v>48.989124104877185</x:v>
      </x:c>
      <x:c r="Q22" s="53" t="n">
        <x:f>MAX(N22*'Hypothèses'!$B$17,'Hypothèses'!$B$18)+'Acquisition'!$H$22</x:f>
        <x:v>430.43153913692953</x:v>
      </x:c>
      <x:c r="R22" s="53" t="n">
        <x:f>'Hypothèses'!$B$22</x:f>
        <x:v>250</x:v>
      </x:c>
      <x:c r="S22" s="53" t="n">
        <x:f>'Hypothèses'!$B$19</x:f>
        <x:v>200</x:v>
      </x:c>
      <x:c r="T22" s="53" t="n">
        <x:f>'Hypothèses'!$B$20</x:f>
        <x:v>100</x:v>
      </x:c>
      <x:c r="U22" s="53" t="n">
        <x:f>'Hypothèses'!$C$44</x:f>
        <x:v>2000</x:v>
      </x:c>
      <x:c r="V22" s="53" t="n">
        <x:f>N22-SUM(O22:T22)-Z22</x:f>
        <x:v>1799.6117273209143</x:v>
      </x:c>
      <x:c r="W22" s="53" t="n">
        <x:f>SUM(O22:U22)+Z22</x:f>
        <x:v>3069.9318669252825</x:v>
      </x:c>
      <x:c r="X22" s="53" t="n">
        <x:f>N22-W22</x:f>
        <x:v>-200.38827267908573</x:v>
      </x:c>
      <x:c r="Y22" s="53" t="n">
        <x:f>Y21+X22</x:f>
        <x:v>-1734.8980679592687</x:v>
      </x:c>
      <x:c r="Z22" t="n">
        <x:f>IF(M22&gt;='Hypothèses'!$B$31*'Hypothèses'!$B$30,M22*'Hypothèses'!$B$32,0)</x:f>
        <x:v>40.51120368347572</x:v>
      </x:c>
    </x:row>
    <x:row r="23">
      <x:c r="A23" s="50" t="n">
        <x:v>20</x:v>
      </x:c>
      <x:c r="B23" s="51" t="n">
        <x:v>46966</x:v>
      </x:c>
      <x:c r="C23" s="113" t="n">
        <x:f>'Acquisition'!$K$23</x:f>
        <x:v>7432.556651913032</x:v>
      </x:c>
      <x:c r="D23" s="52" t="n">
        <x:f>SUM($C$4:C23)</x:f>
        <x:v>86878.1758750084</x:v>
      </x:c>
      <x:c r="E23" s="52" t="n">
        <x:f>C4*'Cohortes MAU'!$D$23+C5*'Cohortes MAU'!$D$22+C6*'Cohortes MAU'!$D$21+C7*'Cohortes MAU'!$D$20+C8*'Cohortes MAU'!$D$19+C9*'Cohortes MAU'!$D$18+C10*'Cohortes MAU'!$D$17+C11*'Cohortes MAU'!$D$16+C12*'Cohortes MAU'!$D$15+C13*'Cohortes MAU'!$D$14+C14*'Cohortes MAU'!$D$13+C15*'Cohortes MAU'!$D$12+C16*'Cohortes MAU'!$D$11+C17*'Cohortes MAU'!$D$10+C18*'Cohortes MAU'!$D$9+C19*'Cohortes MAU'!$D$8+C20*'Cohortes MAU'!$D$7+C21*'Cohortes MAU'!$D$6+C22*'Cohortes MAU'!$D$5+C23*'Cohortes MAU'!$D$4</x:f>
        <x:v>17375.63517500168</x:v>
      </x:c>
      <x:c r="F23" s="52" t="n">
        <x:f>C21*'Hypothèses'!$C$39</x:f>
        <x:v>165.3737240101689</x:v>
      </x:c>
      <x:c r="G23" s="52" t="n">
        <x:f>SUM($F$4:F23)</x:f>
        <x:v>1810.844333126605</x:v>
      </x:c>
      <x:c r="H23" s="52" t="n">
        <x:f>C20*'Hypothèses'!$C$40</x:f>
        <x:v>31.202589435880924</x:v>
      </x:c>
      <x:c r="I23" s="52" t="n">
        <x:f>G22*('Hypothèses'!$C$41/12)</x:f>
        <x:v>2.7424510151940606</x:v>
      </x:c>
      <x:c r="J23" s="52" t="n">
        <x:f>(H11+J11)*'Hypothèses'!$C$42</x:f>
        <x:v>0</x:v>
      </x:c>
      <x:c r="K23" s="52" t="n">
        <x:f>(I11+K11)*'Hypothèses'!$C$42</x:f>
        <x:v>0</x:v>
      </x:c>
      <x:c r="L23" s="52" t="n">
        <x:f>SUM(H12:K23)</x:f>
        <x:v>273.8362814998468</x:v>
      </x:c>
      <x:c r="M23" s="53" t="n">
        <x:f>F23*'Hypothèses'!$B$6+H23*'Hypothèses'!$B$7+I23*'Hypothèses'!$B$8+J23*'Hypothèses'!$B$7+K23*'Hypothèses'!$B$8</x:f>
        <x:v>4296.407995939074</x:v>
      </x:c>
      <x:c r="N23" s="53" t="n">
        <x:f>M23/(1+'Hypothèses'!$B$9)*(1-'Hypothèses'!$B$10)</x:f>
        <x:v>3043.288997123511</x:v>
      </x:c>
      <x:c r="O23" s="53" t="n">
        <x:f>(MAX(MIN(E23-'Hypothèses'!$B$24,'Hypothèses'!$B$25-'Hypothèses'!$B$24),0)/1000*'Hypothèses'!$B$26+MAX(MIN(E23-'Hypothèses'!$B$25,'Hypothèses'!$B$27-'Hypothèses'!$B$25),0)/1000*'Hypothèses'!$B$28+MAX(E23-'Hypothèses'!$B$27,0)/1000*'Hypothèses'!$B$29)*'Hypothèses'!$B$30</x:f>
        <x:v>0</x:v>
      </x:c>
      <x:c r="P23" s="53" t="n">
        <x:f>IF(A23&gt;='Hypothèses'!$B$12,'Hypothèses'!$B$15,0)+L23*'Hypothèses'!$B$16</x:f>
        <x:v>52.38362814998468</x:v>
      </x:c>
      <x:c r="Q23" s="53" t="n">
        <x:f>MAX(N23*'Hypothèses'!$B$17,'Hypothèses'!$B$18)+'Acquisition'!$H$23</x:f>
        <x:v>456.49334956852664</x:v>
      </x:c>
      <x:c r="R23" s="53" t="n">
        <x:f>'Hypothèses'!$B$22</x:f>
        <x:v>250</x:v>
      </x:c>
      <x:c r="S23" s="53" t="n">
        <x:f>'Hypothèses'!$B$19</x:f>
        <x:v>200</x:v>
      </x:c>
      <x:c r="T23" s="53" t="n">
        <x:f>'Hypothèses'!$B$20</x:f>
        <x:v>100</x:v>
      </x:c>
      <x:c r="U23" s="53" t="n">
        <x:f>'Hypothèses'!$C$44</x:f>
        <x:v>2000</x:v>
      </x:c>
      <x:c r="V23" s="53" t="n">
        <x:f>N23-SUM(O23:T23)-Z23</x:f>
        <x:v>1941.4479394456087</x:v>
      </x:c>
      <x:c r="W23" s="53" t="n">
        <x:f>SUM(O23:U23)+Z23</x:f>
        <x:v>3101.8410576779024</x:v>
      </x:c>
      <x:c r="X23" s="53" t="n">
        <x:f>N23-W23</x:f>
        <x:v>-58.55206055439157</x:v>
      </x:c>
      <x:c r="Y23" s="53" t="n">
        <x:f>Y22+X23</x:f>
        <x:v>-1793.4501285136603</x:v>
      </x:c>
      <x:c r="Z23" t="n">
        <x:f>IF(M23&gt;='Hypothèses'!$B$31*'Hypothèses'!$B$30,M23*'Hypothèses'!$B$32,0)</x:f>
        <x:v>42.96407995939074</x:v>
      </x:c>
    </x:row>
    <x:row r="24">
      <x:c r="A24" s="50" t="n">
        <x:v>21</x:v>
      </x:c>
      <x:c r="B24" s="51" t="n">
        <x:v>46997</x:v>
      </x:c>
      <x:c r="C24" s="113" t="n">
        <x:f>'Acquisition'!$K$24</x:f>
        <x:v>7878.5100510278135</x:v>
      </x:c>
      <x:c r="D24" s="52" t="n">
        <x:f>SUM($C$4:C24)</x:f>
        <x:v>94756.68592603621</x:v>
      </x:c>
      <x:c r="E24" s="52" t="n">
        <x:f>C4*'Cohortes MAU'!$D$24+C5*'Cohortes MAU'!$D$23+C6*'Cohortes MAU'!$D$22+C7*'Cohortes MAU'!$D$21+C8*'Cohortes MAU'!$D$20+C9*'Cohortes MAU'!$D$19+C10*'Cohortes MAU'!$D$18+C11*'Cohortes MAU'!$D$17+C12*'Cohortes MAU'!$D$16+C13*'Cohortes MAU'!$D$15+C14*'Cohortes MAU'!$D$14+C15*'Cohortes MAU'!$D$13+C16*'Cohortes MAU'!$D$12+C17*'Cohortes MAU'!$D$11+C18*'Cohortes MAU'!$D$10+C19*'Cohortes MAU'!$D$9+C20*'Cohortes MAU'!$D$8+C21*'Cohortes MAU'!$D$7+C22*'Cohortes MAU'!$D$6+C23*'Cohortes MAU'!$D$5+C24*'Cohortes MAU'!$D$4</x:f>
        <x:v>18951.33718520724</x:v>
      </x:c>
      <x:c r="F24" s="52" t="n">
        <x:f>C22*'Hypothèses'!$C$39</x:f>
        <x:v>175.29614745077905</x:v>
      </x:c>
      <x:c r="G24" s="52" t="n">
        <x:f>SUM($F$4:F24)</x:f>
        <x:v>1986.140480577384</x:v>
      </x:c>
      <x:c r="H24" s="52" t="n">
        <x:f>C21*'Hypothèses'!$C$40</x:f>
        <x:v>33.07474480203378</x:v>
      </x:c>
      <x:c r="I24" s="52" t="n">
        <x:f>G23*('Hypothèses'!$C$41/12)</x:f>
        <x:v>3.018073888544342</x:v>
      </x:c>
      <x:c r="J24" s="52" t="n">
        <x:f>(H12+J12)*'Hypothèses'!$C$42</x:f>
        <x:v>0</x:v>
      </x:c>
      <x:c r="K24" s="52" t="n">
        <x:f>(I12+K12)*'Hypothèses'!$C$42</x:f>
        <x:v>0</x:v>
      </x:c>
      <x:c r="L24" s="52" t="n">
        <x:f>SUM(H13:K24)</x:f>
        <x:v>309.9291001904249</x:v>
      </x:c>
      <x:c r="M24" s="53" t="n">
        <x:f>F24*'Hypothèses'!$B$6+H24*'Hypothèses'!$B$7+I24*'Hypothèses'!$B$8+J24*'Hypothèses'!$B$7+K24*'Hypothèses'!$B$8</x:f>
        <x:v>4556.412881186066</x:v>
      </x:c>
      <x:c r="N24" s="53" t="n">
        <x:f>M24/(1+'Hypothèses'!$B$9)*(1-'Hypothèses'!$B$10)</x:f>
        <x:v>3227.459124173464</x:v>
      </x:c>
      <x:c r="O24" s="53" t="n">
        <x:f>(MAX(MIN(E24-'Hypothèses'!$B$24,'Hypothèses'!$B$25-'Hypothèses'!$B$24),0)/1000*'Hypothèses'!$B$26+MAX(MIN(E24-'Hypothèses'!$B$25,'Hypothèses'!$B$27-'Hypothèses'!$B$25),0)/1000*'Hypothèses'!$B$28+MAX(E24-'Hypothèses'!$B$27,0)/1000*'Hypothèses'!$B$29)*'Hypothèses'!$B$30</x:f>
        <x:v>0</x:v>
      </x:c>
      <x:c r="P24" s="53" t="n">
        <x:f>IF(A24&gt;='Hypothèses'!$B$12,'Hypothèses'!$B$15,0)+L24*'Hypothèses'!$B$16</x:f>
        <x:v>55.99291001904249</x:v>
      </x:c>
      <x:c r="Q24" s="53" t="n">
        <x:f>MAX(N24*'Hypothèses'!$B$17,'Hypothèses'!$B$18)+'Acquisition'!$H$24</x:f>
        <x:v>484.11886862601955</x:v>
      </x:c>
      <x:c r="R24" s="53" t="n">
        <x:f>'Hypothèses'!$B$22</x:f>
        <x:v>250</x:v>
      </x:c>
      <x:c r="S24" s="53" t="n">
        <x:f>'Hypothèses'!$B$19</x:f>
        <x:v>200</x:v>
      </x:c>
      <x:c r="T24" s="53" t="n">
        <x:f>'Hypothèses'!$B$20</x:f>
        <x:v>100</x:v>
      </x:c>
      <x:c r="U24" s="53" t="n">
        <x:f>'Hypothèses'!$C$44</x:f>
        <x:v>2000</x:v>
      </x:c>
      <x:c r="V24" s="53" t="n">
        <x:f>N24-SUM(O24:T24)-Z24</x:f>
        <x:v>2091.783216716541</x:v>
      </x:c>
      <x:c r="W24" s="53" t="n">
        <x:f>SUM(O24:U24)+Z24</x:f>
        <x:v>3135.675907456923</x:v>
      </x:c>
      <x:c r="X24" s="53" t="n">
        <x:f>N24-W24</x:f>
        <x:v>91.78321671654066</x:v>
      </x:c>
      <x:c r="Y24" s="53" t="n">
        <x:f>Y23+X24</x:f>
        <x:v>-1701.6669117971196</x:v>
      </x:c>
      <x:c r="Z24" t="n">
        <x:f>IF(M24&gt;='Hypothèses'!$B$31*'Hypothèses'!$B$30,M24*'Hypothèses'!$B$32,0)</x:f>
        <x:v>45.56412881186066</x:v>
      </x:c>
    </x:row>
    <x:row r="25">
      <x:c r="A25" s="50" t="n">
        <x:v>22</x:v>
      </x:c>
      <x:c r="B25" s="51" t="n">
        <x:v>47027</x:v>
      </x:c>
      <x:c r="C25" s="113" t="n">
        <x:f>'Acquisition'!$K$25</x:f>
        <x:v>8351.220654089482</x:v>
      </x:c>
      <x:c r="D25" s="52" t="n">
        <x:f>SUM($C$4:C25)</x:f>
        <x:v>103107.9065801257</x:v>
      </x:c>
      <x:c r="E25" s="52" t="n">
        <x:f>C4*'Cohortes MAU'!$D$25+C5*'Cohortes MAU'!$D$24+C6*'Cohortes MAU'!$D$23+C7*'Cohortes MAU'!$D$22+C8*'Cohortes MAU'!$D$21+C9*'Cohortes MAU'!$D$20+C10*'Cohortes MAU'!$D$19+C11*'Cohortes MAU'!$D$18+C12*'Cohortes MAU'!$D$17+C13*'Cohortes MAU'!$D$16+C14*'Cohortes MAU'!$D$15+C15*'Cohortes MAU'!$D$14+C16*'Cohortes MAU'!$D$13+C17*'Cohortes MAU'!$D$12+C18*'Cohortes MAU'!$D$11+C19*'Cohortes MAU'!$D$10+C20*'Cohortes MAU'!$D$9+C21*'Cohortes MAU'!$D$8+C22*'Cohortes MAU'!$D$7+C23*'Cohortes MAU'!$D$6+C24*'Cohortes MAU'!$D$5+C25*'Cohortes MAU'!$D$4</x:f>
        <x:v>20621.58131602514</x:v>
      </x:c>
      <x:c r="F25" s="52" t="n">
        <x:f>C23*'Hypothèses'!$C$39</x:f>
        <x:v>185.8139162978258</x:v>
      </x:c>
      <x:c r="G25" s="52" t="n">
        <x:f>SUM($F$4:F25)</x:f>
        <x:v>2171.95439687521</x:v>
      </x:c>
      <x:c r="H25" s="52" t="n">
        <x:f>C22*'Hypothèses'!$C$40</x:f>
        <x:v>35.05922949015581</x:v>
      </x:c>
      <x:c r="I25" s="52" t="n">
        <x:f>G24*('Hypothèses'!$C$41/12)</x:f>
        <x:v>3.3102341342956403</x:v>
      </x:c>
      <x:c r="J25" s="52" t="n">
        <x:f>(H13+J13)*'Hypothèses'!$C$42</x:f>
        <x:v>9.521245937664004</x:v>
      </x:c>
      <x:c r="K25" s="52" t="n">
        <x:f>(I13+K13)*'Hypothèses'!$C$42</x:f>
        <x:v>0.4461401679872001</x:v>
      </x:c>
      <x:c r="L25" s="52" t="n">
        <x:f>SUM(H14:K25)</x:f>
        <x:v>341.6536397444422</x:v>
      </x:c>
      <x:c r="M25" s="53" t="n">
        <x:f>F25*'Hypothèses'!$B$6+H25*'Hypothèses'!$B$7+I25*'Hypothèses'!$B$8+J25*'Hypothèses'!$B$7+K25*'Hypothèses'!$B$8</x:f>
        <x:v>5126.478567176488</x:v>
      </x:c>
      <x:c r="N25" s="53" t="n">
        <x:f>M25/(1+'Hypothèses'!$B$9)*(1-'Hypothèses'!$B$10)</x:f>
        <x:v>3631.255651750012</x:v>
      </x:c>
      <x:c r="O25" s="53" t="n">
        <x:f>(MAX(MIN(E25-'Hypothèses'!$B$24,'Hypothèses'!$B$25-'Hypothèses'!$B$24),0)/1000*'Hypothèses'!$B$26+MAX(MIN(E25-'Hypothèses'!$B$25,'Hypothèses'!$B$27-'Hypothèses'!$B$25),0)/1000*'Hypothèses'!$B$28+MAX(E25-'Hypothèses'!$B$27,0)/1000*'Hypothèses'!$B$29)*'Hypothèses'!$B$30</x:f>
        <x:v>0</x:v>
      </x:c>
      <x:c r="P25" s="53" t="n">
        <x:f>IF(A25&gt;='Hypothèses'!$B$12,'Hypothèses'!$B$15,0)+L25*'Hypothèses'!$B$16</x:f>
        <x:v>59.165363974444226</x:v>
      </x:c>
      <x:c r="Q25" s="53" t="n">
        <x:f>MAX(N25*'Hypothèses'!$B$17,'Hypothèses'!$B$18)+'Acquisition'!$H$25</x:f>
        <x:v>544.6883477625017</x:v>
      </x:c>
      <x:c r="R25" s="53" t="n">
        <x:f>'Hypothèses'!$B$22</x:f>
        <x:v>250</x:v>
      </x:c>
      <x:c r="S25" s="53" t="n">
        <x:f>'Hypothèses'!$B$19</x:f>
        <x:v>200</x:v>
      </x:c>
      <x:c r="T25" s="53" t="n">
        <x:f>'Hypothèses'!$B$20</x:f>
        <x:v>100</x:v>
      </x:c>
      <x:c r="U25" s="53" t="n">
        <x:f>'Hypothèses'!$C$44</x:f>
        <x:v>2000</x:v>
      </x:c>
      <x:c r="V25" s="53" t="n">
        <x:f>N25-SUM(O25:T25)-Z25</x:f>
        <x:v>2426.137154341301</x:v>
      </x:c>
      <x:c r="W25" s="53" t="n">
        <x:f>SUM(O25:U25)+Z25</x:f>
        <x:v>3205.118497408711</x:v>
      </x:c>
      <x:c r="X25" s="53" t="n">
        <x:f>N25-W25</x:f>
        <x:v>426.1371543413011</x:v>
      </x:c>
      <x:c r="Y25" s="53" t="n">
        <x:f>Y24+X25</x:f>
        <x:v>-1275.5297574558185</x:v>
      </x:c>
      <x:c r="Z25" t="n">
        <x:f>IF(M25&gt;='Hypothèses'!$B$31*'Hypothèses'!$B$30,M25*'Hypothèses'!$B$32,0)</x:f>
        <x:v>51.264785671764876</x:v>
      </x:c>
    </x:row>
    <x:row r="26">
      <x:c r="A26" s="50" t="n">
        <x:v>23</x:v>
      </x:c>
      <x:c r="B26" s="51" t="n">
        <x:v>47058</x:v>
      </x:c>
      <x:c r="C26" s="113" t="n">
        <x:f>'Acquisition'!$K$26</x:f>
        <x:v>8852.293893334852</x:v>
      </x:c>
      <x:c r="D26" s="52" t="n">
        <x:f>SUM($C$4:C26)</x:f>
        <x:v>111960.20047346054</x:v>
      </x:c>
      <x:c r="E26" s="52" t="n">
        <x:f>C4*'Cohortes MAU'!$D$26+C5*'Cohortes MAU'!$D$25+C6*'Cohortes MAU'!$D$24+C7*'Cohortes MAU'!$D$23+C8*'Cohortes MAU'!$D$22+C9*'Cohortes MAU'!$D$21+C10*'Cohortes MAU'!$D$20+C11*'Cohortes MAU'!$D$19+C12*'Cohortes MAU'!$D$18+C13*'Cohortes MAU'!$D$17+C14*'Cohortes MAU'!$D$16+C15*'Cohortes MAU'!$D$15+C16*'Cohortes MAU'!$D$14+C17*'Cohortes MAU'!$D$13+C18*'Cohortes MAU'!$D$12+C19*'Cohortes MAU'!$D$11+C20*'Cohortes MAU'!$D$10+C21*'Cohortes MAU'!$D$9+C22*'Cohortes MAU'!$D$8+C23*'Cohortes MAU'!$D$7+C24*'Cohortes MAU'!$D$6+C25*'Cohortes MAU'!$D$5+C26*'Cohortes MAU'!$D$4</x:f>
        <x:v>22392.040094692107</x:v>
      </x:c>
      <x:c r="F26" s="52" t="n">
        <x:f>C24*'Hypothèses'!$C$39</x:f>
        <x:v>196.96275127569535</x:v>
      </x:c>
      <x:c r="G26" s="52" t="n">
        <x:f>SUM($F$4:F26)</x:f>
        <x:v>2368.917148150905</x:v>
      </x:c>
      <x:c r="H26" s="52" t="n">
        <x:f>C23*'Hypothèses'!$C$40</x:f>
        <x:v>37.16278325956516</x:v>
      </x:c>
      <x:c r="I26" s="52" t="n">
        <x:f>G25*('Hypothèses'!$C$41/12)</x:f>
        <x:v>3.6199239947920168</x:v>
      </x:c>
      <x:c r="J26" s="52" t="n">
        <x:f>(H14+J14)*'Hypothèses'!$C$42</x:f>
        <x:v>10.282945612677125</x:v>
      </x:c>
      <x:c r="K26" s="52" t="n">
        <x:f>(I14+K14)*'Hypothèses'!$C$42</x:f>
        <x:v>0.5318313814261761</x:v>
      </x:c>
      <x:c r="L26" s="52" t="n">
        <x:f>SUM(H15:K26)</x:f>
        <x:v>375.2264956693972</x:v>
      </x:c>
      <x:c r="M26" s="53" t="n">
        <x:f>F26*'Hypothèses'!$B$6+H26*'Hypothèses'!$B$7+I26*'Hypothèses'!$B$8+J26*'Hypothèses'!$B$7+K26*'Hypothèses'!$B$8</x:f>
        <x:v>5443.176396850297</x:v>
      </x:c>
      <x:c r="N26" s="53" t="n">
        <x:f>M26/(1+'Hypothèses'!$B$9)*(1-'Hypothèses'!$B$10)</x:f>
        <x:v>3855.5832811022938</x:v>
      </x:c>
      <x:c r="O26" s="53" t="n">
        <x:f>(MAX(MIN(E26-'Hypothèses'!$B$24,'Hypothèses'!$B$25-'Hypothèses'!$B$24),0)/1000*'Hypothèses'!$B$26+MAX(MIN(E26-'Hypothèses'!$B$25,'Hypothèses'!$B$27-'Hypothèses'!$B$25),0)/1000*'Hypothèses'!$B$28+MAX(E26-'Hypothèses'!$B$27,0)/1000*'Hypothèses'!$B$29)*'Hypothèses'!$B$30</x:f>
        <x:v>0</x:v>
      </x:c>
      <x:c r="P26" s="53" t="n">
        <x:f>IF(A26&gt;='Hypothèses'!$B$12,'Hypothèses'!$B$15,0)+L26*'Hypothèses'!$B$16</x:f>
        <x:v>62.52264956693972</x:v>
      </x:c>
      <x:c r="Q26" s="53" t="n">
        <x:f>MAX(N26*'Hypothèses'!$B$17,'Hypothèses'!$B$18)+'Acquisition'!$H$26</x:f>
        <x:v>578.3374921653441</x:v>
      </x:c>
      <x:c r="R26" s="53" t="n">
        <x:f>'Hypothèses'!$B$22</x:f>
        <x:v>250</x:v>
      </x:c>
      <x:c r="S26" s="53" t="n">
        <x:f>'Hypothèses'!$B$19</x:f>
        <x:v>200</x:v>
      </x:c>
      <x:c r="T26" s="53" t="n">
        <x:f>'Hypothèses'!$B$20</x:f>
        <x:v>100</x:v>
      </x:c>
      <x:c r="U26" s="53" t="n">
        <x:f>'Hypothèses'!$C$44</x:f>
        <x:v>2000</x:v>
      </x:c>
      <x:c r="V26" s="53" t="n">
        <x:f>N26-SUM(O26:T26)-Z26</x:f>
        <x:v>2610.291375401507</x:v>
      </x:c>
      <x:c r="W26" s="53" t="n">
        <x:f>SUM(O26:U26)+Z26</x:f>
        <x:v>3245.2919057007866</x:v>
      </x:c>
      <x:c r="X26" s="53" t="n">
        <x:f>N26-W26</x:f>
        <x:v>610.2913754015071</x:v>
      </x:c>
      <x:c r="Y26" s="53" t="n">
        <x:f>Y25+X26</x:f>
        <x:v>-665.2383820543114</x:v>
      </x:c>
      <x:c r="Z26" t="n">
        <x:f>IF(M26&gt;='Hypothèses'!$B$31*'Hypothèses'!$B$30,M26*'Hypothèses'!$B$32,0)</x:f>
        <x:v>54.43176396850298</x:v>
      </x:c>
    </x:row>
    <x:row r="27">
      <x:c r="A27" s="50" t="n">
        <x:v>24</x:v>
      </x:c>
      <x:c r="B27" s="51" t="n">
        <x:v>47088</x:v>
      </x:c>
      <x:c r="C27" s="113" t="n">
        <x:f>'Acquisition'!$K$27</x:f>
        <x:v>9383.431526934944</x:v>
      </x:c>
      <x:c r="D27" s="52" t="n">
        <x:f>SUM($C$4:C27)</x:f>
        <x:v>121343.63200039549</x:v>
      </x:c>
      <x:c r="E27" s="52" t="n">
        <x:f>C4*'Cohortes MAU'!$D$27+C5*'Cohortes MAU'!$D$26+C6*'Cohortes MAU'!$D$25+C7*'Cohortes MAU'!$D$24+C8*'Cohortes MAU'!$D$23+C9*'Cohortes MAU'!$D$22+C10*'Cohortes MAU'!$D$21+C11*'Cohortes MAU'!$D$20+C12*'Cohortes MAU'!$D$19+C13*'Cohortes MAU'!$D$18+C14*'Cohortes MAU'!$D$17+C15*'Cohortes MAU'!$D$16+C16*'Cohortes MAU'!$D$15+C17*'Cohortes MAU'!$D$14+C18*'Cohortes MAU'!$D$13+C19*'Cohortes MAU'!$D$12+C20*'Cohortes MAU'!$D$11+C21*'Cohortes MAU'!$D$10+C22*'Cohortes MAU'!$D$9+C23*'Cohortes MAU'!$D$8+C24*'Cohortes MAU'!$D$7+C25*'Cohortes MAU'!$D$6+C26*'Cohortes MAU'!$D$5+C27*'Cohortes MAU'!$D$4</x:f>
        <x:v>24268.726400079096</x:v>
      </x:c>
      <x:c r="F27" s="52" t="n">
        <x:f>C25*'Hypothèses'!$C$39</x:f>
        <x:v>208.78051635223707</x:v>
      </x:c>
      <x:c r="G27" s="52" t="n">
        <x:f>SUM($F$4:F27)</x:f>
        <x:v>2577.6976645031423</x:v>
      </x:c>
      <x:c r="H27" s="52" t="n">
        <x:f>C24*'Hypothèses'!$C$40</x:f>
        <x:v>39.39255025513907</x:v>
      </x:c>
      <x:c r="I27" s="52" t="n">
        <x:f>G26*('Hypothèses'!$C$41/12)</x:f>
        <x:v>3.9481952469181754</x:v>
      </x:c>
      <x:c r="J27" s="52" t="n">
        <x:f>(H15+J15)*'Hypothèses'!$C$42</x:f>
        <x:v>11.105581261691295</x:v>
      </x:c>
      <x:c r="K27" s="52" t="n">
        <x:f>(I15+K15)*'Hypothèses'!$C$42</x:f>
        <x:v>0.6243778919402703</x:v>
      </x:c>
      <x:c r="L27" s="52" t="n">
        <x:f>SUM(H16:K27)</x:f>
        <x:v>410.74726840236673</x:v>
      </x:c>
      <x:c r="M27" s="53" t="n">
        <x:f>F27*'Hypothèses'!$B$6+H27*'Hypothèses'!$B$7+I27*'Hypothèses'!$B$8+J27*'Hypothèses'!$B$7+K27*'Hypothèses'!$B$8</x:f>
        <x:v>5779.367223116742</x:v>
      </x:c>
      <x:c r="N27" s="53" t="n">
        <x:f>M27/(1+'Hypothèses'!$B$9)*(1-'Hypothèses'!$B$10)</x:f>
        <x:v>4093.7184497076923</x:v>
      </x:c>
      <x:c r="O27" s="53" t="n">
        <x:f>(MAX(MIN(E27-'Hypothèses'!$B$24,'Hypothèses'!$B$25-'Hypothèses'!$B$24),0)/1000*'Hypothèses'!$B$26+MAX(MIN(E27-'Hypothèses'!$B$25,'Hypothèses'!$B$27-'Hypothèses'!$B$25),0)/1000*'Hypothèses'!$B$28+MAX(E27-'Hypothèses'!$B$27,0)/1000*'Hypothèses'!$B$29)*'Hypothèses'!$B$30</x:f>
        <x:v>0</x:v>
      </x:c>
      <x:c r="P27" s="53" t="n">
        <x:f>IF(A27&gt;='Hypothèses'!$B$12,'Hypothèses'!$B$15,0)+L27*'Hypothèses'!$B$16</x:f>
        <x:v>66.07472684023668</x:v>
      </x:c>
      <x:c r="Q27" s="53" t="n">
        <x:f>MAX(N27*'Hypothèses'!$B$17,'Hypothèses'!$B$18)+'Acquisition'!$H$27</x:f>
        <x:v>614.0577674561538</x:v>
      </x:c>
      <x:c r="R27" s="53" t="n">
        <x:f>'Hypothèses'!$B$22</x:f>
        <x:v>250</x:v>
      </x:c>
      <x:c r="S27" s="53" t="n">
        <x:f>'Hypothèses'!$B$19</x:f>
        <x:v>200</x:v>
      </x:c>
      <x:c r="T27" s="53" t="n">
        <x:f>'Hypothèses'!$B$20</x:f>
        <x:v>100</x:v>
      </x:c>
      <x:c r="U27" s="53" t="n">
        <x:f>'Hypothèses'!$C$44</x:f>
        <x:v>2000</x:v>
      </x:c>
      <x:c r="V27" s="53" t="n">
        <x:f>N27-SUM(O27:T27)-Z27</x:f>
        <x:v>2805.7922831801347</x:v>
      </x:c>
      <x:c r="W27" s="53" t="n">
        <x:f>SUM(O27:U27)+Z27</x:f>
        <x:v>3287.9261665275576</x:v>
      </x:c>
      <x:c r="X27" s="53" t="n">
        <x:f>N27-W27</x:f>
        <x:v>805.7922831801347</x:v>
      </x:c>
      <x:c r="Y27" s="53" t="n">
        <x:f>Y26+X27</x:f>
        <x:v>140.55390112582336</x:v>
      </x:c>
      <x:c r="Z27" t="n">
        <x:f>IF(M27&gt;='Hypothèses'!$B$31*'Hypothèses'!$B$30,M27*'Hypothèses'!$B$32,0)</x:f>
        <x:v>57.79367223116742</x:v>
      </x:c>
    </x:row>
    <x:row r="28">
      <x:c r="A28" s="50" t="n">
        <x:v>25</x:v>
      </x:c>
      <x:c r="B28" s="51" t="n">
        <x:v>47119</x:v>
      </x:c>
      <x:c r="C28" s="113" t="n">
        <x:f>'Acquisition'!$K$28</x:f>
        <x:v>9758.768788012343</x:v>
      </x:c>
      <x:c r="D28" s="52" t="n">
        <x:f>SUM($C$4:C28)</x:f>
        <x:v>131102.40078840783</x:v>
      </x:c>
      <x:c r="E28" s="52" t="n">
        <x:f>C4*'Cohortes MAU'!$D$28+C5*'Cohortes MAU'!$D$27+C6*'Cohortes MAU'!$D$26+C7*'Cohortes MAU'!$D$25+C8*'Cohortes MAU'!$D$24+C9*'Cohortes MAU'!$D$23+C10*'Cohortes MAU'!$D$22+C11*'Cohortes MAU'!$D$21+C12*'Cohortes MAU'!$D$20+C13*'Cohortes MAU'!$D$19+C14*'Cohortes MAU'!$D$18+C15*'Cohortes MAU'!$D$17+C16*'Cohortes MAU'!$D$16+C17*'Cohortes MAU'!$D$15+C18*'Cohortes MAU'!$D$14+C19*'Cohortes MAU'!$D$13+C20*'Cohortes MAU'!$D$12+C21*'Cohortes MAU'!$D$11+C22*'Cohortes MAU'!$D$10+C23*'Cohortes MAU'!$D$9+C24*'Cohortes MAU'!$D$8+C25*'Cohortes MAU'!$D$7+C26*'Cohortes MAU'!$D$6+C27*'Cohortes MAU'!$D$5+C28*'Cohortes MAU'!$D$4</x:f>
        <x:v>26220.480157681566</x:v>
      </x:c>
      <x:c r="F28" s="52" t="n">
        <x:f>C26*'Hypothèses'!$C$39</x:f>
        <x:v>221.30734733337133</x:v>
      </x:c>
      <x:c r="G28" s="52" t="n">
        <x:f>SUM($F$4:F28)</x:f>
        <x:v>2799.0050118365134</x:v>
      </x:c>
      <x:c r="H28" s="52" t="n">
        <x:f>C25*'Hypothèses'!$C$40</x:f>
        <x:v>41.75610327044741</x:v>
      </x:c>
      <x:c r="I28" s="52" t="n">
        <x:f>G27*('Hypothèses'!$C$41/12)</x:f>
        <x:v>4.296162774171904</x:v>
      </x:c>
      <x:c r="J28" s="52" t="n">
        <x:f>(H16+J16)*'Hypothèses'!$C$42</x:f>
        <x:v>11.9940277626266</x:v>
      </x:c>
      <x:c r="K28" s="52" t="n">
        <x:f>(I16+K16)*'Hypothèses'!$C$42</x:f>
        <x:v>0.7243281232954919</x:v>
      </x:c>
      <x:c r="L28" s="52" t="n">
        <x:f>SUM(H17:K28)</x:f>
        <x:v>448.3206305230381</x:v>
      </x:c>
      <x:c r="M28" s="53" t="n">
        <x:f>F28*'Hypothèses'!$B$6+H28*'Hypothèses'!$B$7+I28*'Hypothèses'!$B$8+J28*'Hypothèses'!$B$7+K28*'Hypothèses'!$B$8</x:f>
        <x:v>6136.259915916355</x:v>
      </x:c>
      <x:c r="N28" s="53" t="n">
        <x:f>M28/(1+'Hypothèses'!$B$9)*(1-'Hypothèses'!$B$10)</x:f>
        <x:v>4346.517440440751</x:v>
      </x:c>
      <x:c r="O28" s="53" t="n">
        <x:f>(MAX(MIN(E28-'Hypothèses'!$B$24,'Hypothèses'!$B$25-'Hypothèses'!$B$24),0)/1000*'Hypothèses'!$B$26+MAX(MIN(E28-'Hypothèses'!$B$25,'Hypothèses'!$B$27-'Hypothèses'!$B$25),0)/1000*'Hypothèses'!$B$28+MAX(E28-'Hypothèses'!$B$27,0)/1000*'Hypothèses'!$B$29)*'Hypothèses'!$B$30</x:f>
        <x:v>4.881920630726265</x:v>
      </x:c>
      <x:c r="P28" s="53" t="n">
        <x:f>IF(A28&gt;='Hypothèses'!$B$12,'Hypothèses'!$B$15,0)+L28*'Hypothèses'!$B$16</x:f>
        <x:v>69.83206305230382</x:v>
      </x:c>
      <x:c r="Q28" s="53" t="n">
        <x:f>MAX(N28*'Hypothèses'!$B$17,'Hypothèses'!$B$18)+'Acquisition'!$H$28</x:f>
        <x:v>651.9776160661125</x:v>
      </x:c>
      <x:c r="R28" s="53" t="n">
        <x:f>'Hypothèses'!$B$23</x:f>
        <x:v>400</x:v>
      </x:c>
      <x:c r="S28" s="53" t="n">
        <x:f>'Hypothèses'!$B$19</x:f>
        <x:v>200</x:v>
      </x:c>
      <x:c r="T28" s="53" t="n">
        <x:f>'Hypothèses'!$B$20</x:f>
        <x:v>100</x:v>
      </x:c>
      <x:c r="U28" s="53" t="n">
        <x:f>'Hypothèses'!$C$45</x:f>
        <x:v>3000</x:v>
      </x:c>
      <x:c r="V28" s="53" t="n">
        <x:f>N28-SUM(O28:T28)-Z28</x:f>
        <x:v>2858.463241532445</x:v>
      </x:c>
      <x:c r="W28" s="53" t="n">
        <x:f>SUM(O28:U28)+Z28</x:f>
        <x:v>4488.054198908306</x:v>
      </x:c>
      <x:c r="X28" s="53" t="n">
        <x:f>N28-W28</x:f>
        <x:v>-141.53675846755505</x:v>
      </x:c>
      <x:c r="Y28" s="53" t="n">
        <x:f>Y27+X28</x:f>
        <x:v>-0.9828573417316875</x:v>
      </x:c>
      <x:c r="Z28" t="n">
        <x:f>IF(M28&gt;='Hypothèses'!$B$31*'Hypothèses'!$B$30,M28*'Hypothèses'!$B$32,0)</x:f>
        <x:v>61.36259915916355</x:v>
      </x:c>
    </x:row>
    <x:row r="29">
      <x:c r="A29" s="50" t="n">
        <x:v>26</x:v>
      </x:c>
      <x:c r="B29" s="51" t="n">
        <x:v>47150</x:v>
      </x:c>
      <x:c r="C29" s="113" t="n">
        <x:f>'Acquisition'!$K$29</x:f>
        <x:v>10149.119539532838</x:v>
      </x:c>
      <x:c r="D29" s="52" t="n">
        <x:f>SUM($C$4:C29)</x:f>
        <x:v>141251.52032794067</x:v>
      </x:c>
      <x:c r="E29" s="52" t="n">
        <x:f>C4*'Cohortes MAU'!$D$29+C5*'Cohortes MAU'!$D$28+C6*'Cohortes MAU'!$D$27+C7*'Cohortes MAU'!$D$26+C8*'Cohortes MAU'!$D$25+C9*'Cohortes MAU'!$D$24+C10*'Cohortes MAU'!$D$23+C11*'Cohortes MAU'!$D$22+C12*'Cohortes MAU'!$D$21+C13*'Cohortes MAU'!$D$20+C14*'Cohortes MAU'!$D$19+C15*'Cohortes MAU'!$D$18+C16*'Cohortes MAU'!$D$17+C17*'Cohortes MAU'!$D$16+C18*'Cohortes MAU'!$D$15+C19*'Cohortes MAU'!$D$14+C20*'Cohortes MAU'!$D$13+C21*'Cohortes MAU'!$D$12+C22*'Cohortes MAU'!$D$11+C23*'Cohortes MAU'!$D$10+C24*'Cohortes MAU'!$D$9+C25*'Cohortes MAU'!$D$8+C26*'Cohortes MAU'!$D$7+C27*'Cohortes MAU'!$D$6+C28*'Cohortes MAU'!$D$5+C29*'Cohortes MAU'!$D$4</x:f>
        <x:v>28250.304065588134</x:v>
      </x:c>
      <x:c r="F29" s="52" t="n">
        <x:f>C27*'Hypothèses'!$C$39</x:f>
        <x:v>234.58578817337363</x:v>
      </x:c>
      <x:c r="G29" s="52" t="n">
        <x:f>SUM($F$4:F29)</x:f>
        <x:v>3033.590800009887</x:v>
      </x:c>
      <x:c r="H29" s="52" t="n">
        <x:f>C26*'Hypothèses'!$C$40</x:f>
        <x:v>44.261469466674264</x:v>
      </x:c>
      <x:c r="I29" s="52" t="n">
        <x:f>G28*('Hypothèses'!$C$41/12)</x:f>
        <x:v>4.665008353060856</x:v>
      </x:c>
      <x:c r="J29" s="52" t="n">
        <x:f>(H17+J17)*'Hypothèses'!$C$42</x:f>
        <x:v>12.953549983636728</x:v>
      </x:c>
      <x:c r="K29" s="52" t="n">
        <x:f>(I17+K17)*'Hypothèses'!$C$42</x:f>
        <x:v>0.8322743731591314</x:v>
      </x:c>
      <x:c r="L29" s="52" t="n">
        <x:f>SUM(H18:K29)</x:f>
        <x:v>488.05655877157596</x:v>
      </x:c>
      <x:c r="M29" s="53" t="n">
        <x:f>F29*'Hypothèses'!$B$6+H29*'Hypothèses'!$B$7+I29*'Hypothèses'!$B$8+J29*'Hypothèses'!$B$7+K29*'Hypothèses'!$B$8</x:f>
        <x:v>6515.139020597702</x:v>
      </x:c>
      <x:c r="N29" s="53" t="n">
        <x:f>M29/(1+'Hypothèses'!$B$9)*(1-'Hypothèses'!$B$10)</x:f>
        <x:v>4614.890139590039</x:v>
      </x:c>
      <x:c r="O29" s="53" t="n">
        <x:f>(MAX(MIN(E29-'Hypothèses'!$B$24,'Hypothèses'!$B$25-'Hypothèses'!$B$24),0)/1000*'Hypothèses'!$B$26+MAX(MIN(E29-'Hypothèses'!$B$25,'Hypothèses'!$B$27-'Hypothèses'!$B$25),0)/1000*'Hypothèses'!$B$28+MAX(E29-'Hypothèses'!$B$27,0)/1000*'Hypothèses'!$B$29)*'Hypothèses'!$B$30</x:f>
        <x:v>13.001216262352536</x:v>
      </x:c>
      <x:c r="P29" s="53" t="n">
        <x:f>IF(A29&gt;='Hypothèses'!$B$12,'Hypothèses'!$B$15,0)+L29*'Hypothèses'!$B$16</x:f>
        <x:v>73.80565587715759</x:v>
      </x:c>
      <x:c r="Q29" s="53" t="n">
        <x:f>MAX(N29*'Hypothèses'!$B$17,'Hypothèses'!$B$18)+'Acquisition'!$H$29</x:f>
        <x:v>692.2335209385059</x:v>
      </x:c>
      <x:c r="R29" s="53" t="n">
        <x:f>'Hypothèses'!$B$23</x:f>
        <x:v>400</x:v>
      </x:c>
      <x:c r="S29" s="53" t="n">
        <x:f>'Hypothèses'!$B$19</x:f>
        <x:v>200</x:v>
      </x:c>
      <x:c r="T29" s="53" t="n">
        <x:f>'Hypothèses'!$B$20</x:f>
        <x:v>100</x:v>
      </x:c>
      <x:c r="U29" s="53" t="n">
        <x:f>'Hypothèses'!$C$45</x:f>
        <x:v>3000</x:v>
      </x:c>
      <x:c r="V29" s="53" t="n">
        <x:f>N29-SUM(O29:T29)-Z29</x:f>
        <x:v>3070.6983563060467</x:v>
      </x:c>
      <x:c r="W29" s="53" t="n">
        <x:f>SUM(O29:U29)+Z29</x:f>
        <x:v>4544.191783283993</x:v>
      </x:c>
      <x:c r="X29" s="53" t="n">
        <x:f>N29-W29</x:f>
        <x:v>70.69835630604666</x:v>
      </x:c>
      <x:c r="Y29" s="53" t="n">
        <x:f>Y28+X29</x:f>
        <x:v>69.71549896431497</x:v>
      </x:c>
      <x:c r="Z29" t="n">
        <x:f>IF(M29&gt;='Hypothèses'!$B$31*'Hypothèses'!$B$30,M29*'Hypothèses'!$B$32,0)</x:f>
        <x:v>65.15139020597702</x:v>
      </x:c>
    </x:row>
    <x:row r="30">
      <x:c r="A30" s="50" t="n">
        <x:v>27</x:v>
      </x:c>
      <x:c r="B30" s="51" t="n">
        <x:v>47178</x:v>
      </x:c>
      <x:c r="C30" s="113" t="n">
        <x:f>'Acquisition'!$K$30</x:f>
        <x:v>10555.084321114151</x:v>
      </x:c>
      <x:c r="D30" s="52" t="n">
        <x:f>SUM($C$4:C30)</x:f>
        <x:v>151806.60464905482</x:v>
      </x:c>
      <x:c r="E30" s="52" t="n">
        <x:f>C4*'Cohortes MAU'!$D$30+C5*'Cohortes MAU'!$D$29+C6*'Cohortes MAU'!$D$28+C7*'Cohortes MAU'!$D$27+C8*'Cohortes MAU'!$D$26+C9*'Cohortes MAU'!$D$25+C10*'Cohortes MAU'!$D$24+C11*'Cohortes MAU'!$D$23+C12*'Cohortes MAU'!$D$22+C13*'Cohortes MAU'!$D$21+C14*'Cohortes MAU'!$D$20+C15*'Cohortes MAU'!$D$19+C16*'Cohortes MAU'!$D$18+C17*'Cohortes MAU'!$D$17+C18*'Cohortes MAU'!$D$16+C19*'Cohortes MAU'!$D$15+C20*'Cohortes MAU'!$D$14+C21*'Cohortes MAU'!$D$13+C22*'Cohortes MAU'!$D$12+C23*'Cohortes MAU'!$D$11+C24*'Cohortes MAU'!$D$10+C25*'Cohortes MAU'!$D$9+C26*'Cohortes MAU'!$D$8+C27*'Cohortes MAU'!$D$7+C28*'Cohortes MAU'!$D$6+C29*'Cohortes MAU'!$D$5+C30*'Cohortes MAU'!$D$4</x:f>
        <x:v>30361.320929810965</x:v>
      </x:c>
      <x:c r="F30" s="52" t="n">
        <x:f>C28*'Hypothèses'!$C$39</x:f>
        <x:v>243.9692197003086</x:v>
      </x:c>
      <x:c r="G30" s="52" t="n">
        <x:f>SUM($F$4:F30)</x:f>
        <x:v>3277.560019710196</x:v>
      </x:c>
      <x:c r="H30" s="52" t="n">
        <x:f>C27*'Hypothèses'!$C$40</x:f>
        <x:v>46.91715763467472</x:v>
      </x:c>
      <x:c r="I30" s="52" t="n">
        <x:f>G29*('Hypothèses'!$C$41/12)</x:f>
        <x:v>5.055984666683146</x:v>
      </x:c>
      <x:c r="J30" s="52" t="n">
        <x:f>(H18+J18)*'Hypothèses'!$C$42</x:f>
        <x:v>13.989833982327667</x:v>
      </x:c>
      <x:c r="K30" s="52" t="n">
        <x:f>(I18+K18)*'Hypothèses'!$C$42</x:f>
        <x:v>0.9488563230118618</x:v>
      </x:c>
      <x:c r="L30" s="52" t="n">
        <x:f>SUM(H19:K30)</x:f>
        <x:v>530.0705742027075</x:v>
      </x:c>
      <x:c r="M30" s="53" t="n">
        <x:f>F30*'Hypothèses'!$B$6+H30*'Hypothèses'!$B$7+I30*'Hypothèses'!$B$8+J30*'Hypothèses'!$B$7+K30*'Hypothèses'!$B$8</x:f>
        <x:v>6823.582151787074</x:v>
      </x:c>
      <x:c r="N30" s="53" t="n">
        <x:f>M30/(1+'Hypothèses'!$B$9)*(1-'Hypothèses'!$B$10)</x:f>
        <x:v>4833.370690849178</x:v>
      </x:c>
      <x:c r="O30" s="53" t="n">
        <x:f>(MAX(MIN(E30-'Hypothèses'!$B$24,'Hypothèses'!$B$25-'Hypothèses'!$B$24),0)/1000*'Hypothèses'!$B$26+MAX(MIN(E30-'Hypothèses'!$B$25,'Hypothèses'!$B$27-'Hypothèses'!$B$25),0)/1000*'Hypothèses'!$B$28+MAX(E30-'Hypothèses'!$B$27,0)/1000*'Hypothèses'!$B$29)*'Hypothèses'!$B$30</x:f>
        <x:v>21.44528371924386</x:v>
      </x:c>
      <x:c r="P30" s="53" t="n">
        <x:f>IF(A30&gt;='Hypothèses'!$B$12,'Hypothèses'!$B$15,0)+L30*'Hypothèses'!$B$16</x:f>
        <x:v>78.00705742027074</x:v>
      </x:c>
      <x:c r="Q30" s="53" t="n">
        <x:f>MAX(N30*'Hypothèses'!$B$17,'Hypothèses'!$B$18)+'Acquisition'!$H$30</x:f>
        <x:v>725.0056036273767</x:v>
      </x:c>
      <x:c r="R30" s="53" t="n">
        <x:f>'Hypothèses'!$B$23</x:f>
        <x:v>400</x:v>
      </x:c>
      <x:c r="S30" s="53" t="n">
        <x:f>'Hypothèses'!$B$19</x:f>
        <x:v>200</x:v>
      </x:c>
      <x:c r="T30" s="53" t="n">
        <x:f>'Hypothèses'!$B$20</x:f>
        <x:v>100</x:v>
      </x:c>
      <x:c r="U30" s="53" t="n">
        <x:f>'Hypothèses'!$C$45</x:f>
        <x:v>3000</x:v>
      </x:c>
      <x:c r="V30" s="53" t="n">
        <x:f>N30-SUM(O30:T30)-Z30</x:f>
        <x:v>3240.676924564416</x:v>
      </x:c>
      <x:c r="W30" s="53" t="n">
        <x:f>SUM(O30:U30)+Z30</x:f>
        <x:v>4592.693766284762</x:v>
      </x:c>
      <x:c r="X30" s="53" t="n">
        <x:f>N30-W30</x:f>
        <x:v>240.67692456441546</x:v>
      </x:c>
      <x:c r="Y30" s="53" t="n">
        <x:f>Y29+X30</x:f>
        <x:v>310.39242352873043</x:v>
      </x:c>
      <x:c r="Z30" t="n">
        <x:f>IF(M30&gt;='Hypothèses'!$B$31*'Hypothèses'!$B$30,M30*'Hypothèses'!$B$32,0)</x:f>
        <x:v>68.23582151787073</x:v>
      </x:c>
    </x:row>
    <x:row r="31">
      <x:c r="A31" s="50" t="n">
        <x:v>28</x:v>
      </x:c>
      <x:c r="B31" s="51" t="n">
        <x:v>47209</x:v>
      </x:c>
      <x:c r="C31" s="113" t="n">
        <x:f>'Acquisition'!$K$31</x:f>
        <x:v>10977.287693958717</x:v>
      </x:c>
      <x:c r="D31" s="52" t="n">
        <x:f>SUM($C$4:C31)</x:f>
        <x:v>162783.89234301355</x:v>
      </x:c>
      <x:c r="E31" s="52" t="n">
        <x:f>C4*'Cohortes MAU'!$D$31+C5*'Cohortes MAU'!$D$30+C6*'Cohortes MAU'!$D$29+C7*'Cohortes MAU'!$D$28+C8*'Cohortes MAU'!$D$27+C9*'Cohortes MAU'!$D$26+C10*'Cohortes MAU'!$D$25+C11*'Cohortes MAU'!$D$24+C12*'Cohortes MAU'!$D$23+C13*'Cohortes MAU'!$D$22+C14*'Cohortes MAU'!$D$21+C15*'Cohortes MAU'!$D$20+C16*'Cohortes MAU'!$D$19+C17*'Cohortes MAU'!$D$18+C18*'Cohortes MAU'!$D$17+C19*'Cohortes MAU'!$D$16+C20*'Cohortes MAU'!$D$15+C21*'Cohortes MAU'!$D$14+C22*'Cohortes MAU'!$D$13+C23*'Cohortes MAU'!$D$12+C24*'Cohortes MAU'!$D$11+C25*'Cohortes MAU'!$D$10+C26*'Cohortes MAU'!$D$9+C27*'Cohortes MAU'!$D$8+C28*'Cohortes MAU'!$D$7+C29*'Cohortes MAU'!$D$6+C30*'Cohortes MAU'!$D$5+C31*'Cohortes MAU'!$D$4</x:f>
        <x:v>32556.778468602708</x:v>
      </x:c>
      <x:c r="F31" s="52" t="n">
        <x:f>C29*'Hypothèses'!$C$39</x:f>
        <x:v>253.72798848832096</x:v>
      </x:c>
      <x:c r="G31" s="52" t="n">
        <x:f>SUM($F$4:F31)</x:f>
        <x:v>3531.2880081985168</x:v>
      </x:c>
      <x:c r="H31" s="52" t="n">
        <x:f>C28*'Hypothèses'!$C$40</x:f>
        <x:v>48.79384394006172</x:v>
      </x:c>
      <x:c r="I31" s="52" t="n">
        <x:f>G30*('Hypothèses'!$C$41/12)</x:f>
        <x:v>5.462600032850327</x:v>
      </x:c>
      <x:c r="J31" s="52" t="n">
        <x:f>(H19+J19)*'Hypothèses'!$C$42</x:f>
        <x:v>14.829224021267326</x:v>
      </x:c>
      <x:c r="K31" s="52" t="n">
        <x:f>(I19+K19)*'Hypothèses'!$C$42</x:f>
        <x:v>1.0724331898557562</x:v>
      </x:c>
      <x:c r="L31" s="52" t="n">
        <x:f>SUM(H20:K31)</x:f>
        <x:v>573.725913368204</x:v>
      </x:c>
      <x:c r="M31" s="53" t="n">
        <x:f>F31*'Hypothèses'!$B$6+H31*'Hypothèses'!$B$7+I31*'Hypothèses'!$B$8+J31*'Hypothèses'!$B$7+K31*'Hypothèses'!$B$8</x:f>
        <x:v>7110.713612163689</x:v>
      </x:c>
      <x:c r="N31" s="53" t="n">
        <x:f>M31/(1+'Hypothèses'!$B$9)*(1-'Hypothèses'!$B$10)</x:f>
        <x:v>5036.755475282614</x:v>
      </x:c>
      <x:c r="O31" s="53" t="n">
        <x:f>(MAX(MIN(E31-'Hypothèses'!$B$24,'Hypothèses'!$B$25-'Hypothèses'!$B$24),0)/1000*'Hypothèses'!$B$26+MAX(MIN(E31-'Hypothèses'!$B$25,'Hypothèses'!$B$27-'Hypothèses'!$B$25),0)/1000*'Hypothèses'!$B$28+MAX(E31-'Hypothèses'!$B$27,0)/1000*'Hypothèses'!$B$29)*'Hypothèses'!$B$30</x:f>
        <x:v>30.227113874410833</x:v>
      </x:c>
      <x:c r="P31" s="53" t="n">
        <x:f>IF(A31&gt;='Hypothèses'!$B$12,'Hypothèses'!$B$15,0)+L31*'Hypothèses'!$B$16</x:f>
        <x:v>82.3725913368204</x:v>
      </x:c>
      <x:c r="Q31" s="53" t="n">
        <x:f>MAX(N31*'Hypothèses'!$B$17,'Hypothèses'!$B$18)+'Acquisition'!$H$31</x:f>
        <x:v>755.513321292392</x:v>
      </x:c>
      <x:c r="R31" s="53" t="n">
        <x:f>'Hypothèses'!$B$23</x:f>
        <x:v>400</x:v>
      </x:c>
      <x:c r="S31" s="53" t="n">
        <x:f>'Hypothèses'!$B$19</x:f>
        <x:v>200</x:v>
      </x:c>
      <x:c r="T31" s="53" t="n">
        <x:f>'Hypothèses'!$B$20</x:f>
        <x:v>100</x:v>
      </x:c>
      <x:c r="U31" s="53" t="n">
        <x:f>'Hypothèses'!$C$45</x:f>
        <x:v>3000</x:v>
      </x:c>
      <x:c r="V31" s="53" t="n">
        <x:f>N31-SUM(O31:T31)-Z31</x:f>
        <x:v>3397.5353126573536</x:v>
      </x:c>
      <x:c r="W31" s="53" t="n">
        <x:f>SUM(O31:U31)+Z31</x:f>
        <x:v>4639.22016262526</x:v>
      </x:c>
      <x:c r="X31" s="53" t="n">
        <x:f>N31-W31</x:f>
        <x:v>397.53531265735364</x:v>
      </x:c>
      <x:c r="Y31" s="53" t="n">
        <x:f>Y30+X31</x:f>
        <x:v>707.9277361860841</x:v>
      </x:c>
      <x:c r="Z31" t="n">
        <x:f>IF(M31&gt;='Hypothèses'!$B$31*'Hypothèses'!$B$30,M31*'Hypothèses'!$B$32,0)</x:f>
        <x:v>71.10713612163688</x:v>
      </x:c>
    </x:row>
    <x:row r="32">
      <x:c r="A32" s="50" t="n">
        <x:v>29</x:v>
      </x:c>
      <x:c r="B32" s="51" t="n">
        <x:v>47239</x:v>
      </x:c>
      <x:c r="C32" s="113" t="n">
        <x:f>'Acquisition'!$K$32</x:f>
        <x:v>11416.379201717065</x:v>
      </x:c>
      <x:c r="D32" s="52" t="n">
        <x:f>SUM($C$4:C32)</x:f>
        <x:v>174200.2715447306</x:v>
      </x:c>
      <x:c r="E32" s="52" t="n">
        <x:f>C4*'Cohortes MAU'!$D$32+C5*'Cohortes MAU'!$D$31+C6*'Cohortes MAU'!$D$30+C7*'Cohortes MAU'!$D$29+C8*'Cohortes MAU'!$D$28+C9*'Cohortes MAU'!$D$27+C10*'Cohortes MAU'!$D$26+C11*'Cohortes MAU'!$D$25+C12*'Cohortes MAU'!$D$24+C13*'Cohortes MAU'!$D$23+C14*'Cohortes MAU'!$D$22+C15*'Cohortes MAU'!$D$21+C16*'Cohortes MAU'!$D$20+C17*'Cohortes MAU'!$D$19+C18*'Cohortes MAU'!$D$18+C19*'Cohortes MAU'!$D$17+C20*'Cohortes MAU'!$D$16+C21*'Cohortes MAU'!$D$15+C22*'Cohortes MAU'!$D$14+C23*'Cohortes MAU'!$D$13+C24*'Cohortes MAU'!$D$12+C25*'Cohortes MAU'!$D$11+C26*'Cohortes MAU'!$D$10+C27*'Cohortes MAU'!$D$9+C28*'Cohortes MAU'!$D$8+C29*'Cohortes MAU'!$D$7+C30*'Cohortes MAU'!$D$6+C31*'Cohortes MAU'!$D$5+C32*'Cohortes MAU'!$D$4</x:f>
        <x:v>34840.05430894612</x:v>
      </x:c>
      <x:c r="F32" s="52" t="n">
        <x:f>C30*'Hypothèses'!$C$39</x:f>
        <x:v>263.8771080278538</x:v>
      </x:c>
      <x:c r="G32" s="52" t="n">
        <x:f>SUM($F$4:F32)</x:f>
        <x:v>3795.1651162263706</x:v>
      </x:c>
      <x:c r="H32" s="52" t="n">
        <x:f>C29*'Hypothèses'!$C$40</x:f>
        <x:v>50.74559769766419</x:v>
      </x:c>
      <x:c r="I32" s="52" t="n">
        <x:f>G31*('Hypothèses'!$C$41/12)</x:f>
        <x:v>5.885480013664195</x:v>
      </x:c>
      <x:c r="J32" s="52" t="n">
        <x:f>(H20+J20)*'Hypothèses'!$C$42</x:f>
        <x:v>15.718977462543368</x:v>
      </x:c>
      <x:c r="K32" s="52" t="n">
        <x:f>(I20+K20)*'Hypothèses'!$C$42</x:f>
        <x:v>1.2034246687102843</x:v>
      </x:c>
      <x:c r="L32" s="52" t="n">
        <x:f>SUM(H21:K32)</x:f>
        <x:v>619.0753896586966</x:v>
      </x:c>
      <x:c r="M32" s="53" t="n">
        <x:f>F32*'Hypothèses'!$B$6+H32*'Hypothèses'!$B$7+I32*'Hypothèses'!$B$8+J32*'Hypothèses'!$B$7+K32*'Hypothèses'!$B$8</x:f>
        <x:v>7409.883203132087</x:v>
      </x:c>
      <x:c r="N32" s="53" t="n">
        <x:f>M32/(1+'Hypothèses'!$B$9)*(1-'Hypothèses'!$B$10)</x:f>
        <x:v>5248.667268885229</x:v>
      </x:c>
      <x:c r="O32" s="53" t="n">
        <x:f>(MAX(MIN(E32-'Hypothèses'!$B$24,'Hypothèses'!$B$25-'Hypothèses'!$B$24),0)/1000*'Hypothèses'!$B$26+MAX(MIN(E32-'Hypothèses'!$B$25,'Hypothèses'!$B$27-'Hypothèses'!$B$25),0)/1000*'Hypothèses'!$B$28+MAX(E32-'Hypothèses'!$B$27,0)/1000*'Hypothèses'!$B$29)*'Hypothèses'!$B$30</x:f>
        <x:v>39.36021723578448</x:v>
      </x:c>
      <x:c r="P32" s="53" t="n">
        <x:f>IF(A32&gt;='Hypothèses'!$B$12,'Hypothèses'!$B$15,0)+L32*'Hypothèses'!$B$16</x:f>
        <x:v>86.90753896586966</x:v>
      </x:c>
      <x:c r="Q32" s="53" t="n">
        <x:f>MAX(N32*'Hypothèses'!$B$17,'Hypothèses'!$B$18)+'Acquisition'!$H$32</x:f>
        <x:v>787.3000903327843</x:v>
      </x:c>
      <x:c r="R32" s="53" t="n">
        <x:f>'Hypothèses'!$B$23</x:f>
        <x:v>400</x:v>
      </x:c>
      <x:c r="S32" s="53" t="n">
        <x:f>'Hypothèses'!$B$19</x:f>
        <x:v>200</x:v>
      </x:c>
      <x:c r="T32" s="53" t="n">
        <x:f>'Hypothèses'!$B$20</x:f>
        <x:v>100</x:v>
      </x:c>
      <x:c r="U32" s="53" t="n">
        <x:f>'Hypothèses'!$C$45</x:f>
        <x:v>3000</x:v>
      </x:c>
      <x:c r="V32" s="53" t="n">
        <x:f>N32-SUM(O32:T32)-Z32</x:f>
        <x:v>3561.000590319469</x:v>
      </x:c>
      <x:c r="W32" s="53" t="n">
        <x:f>SUM(O32:U32)+Z32</x:f>
        <x:v>4687.66667856576</x:v>
      </x:c>
      <x:c r="X32" s="53" t="n">
        <x:f>N32-W32</x:f>
        <x:v>561.0005903194688</x:v>
      </x:c>
      <x:c r="Y32" s="53" t="n">
        <x:f>Y31+X32</x:f>
        <x:v>1268.9283265055528</x:v>
      </x:c>
      <x:c r="Z32" t="n">
        <x:f>IF(M32&gt;='Hypothèses'!$B$31*'Hypothèses'!$B$30,M32*'Hypothèses'!$B$32,0)</x:f>
        <x:v>74.09883203132087</x:v>
      </x:c>
    </x:row>
    <x:row r="33">
      <x:c r="A33" s="50" t="n">
        <x:v>30</x:v>
      </x:c>
      <x:c r="B33" s="51" t="n">
        <x:v>47270</x:v>
      </x:c>
      <x:c r="C33" s="113" t="n">
        <x:f>'Acquisition'!$K$33</x:f>
        <x:v>11873.034369785748</x:v>
      </x:c>
      <x:c r="D33" s="52" t="n">
        <x:f>SUM($C$4:C33)</x:f>
        <x:v>186073.30591451636</x:v>
      </x:c>
      <x:c r="E33" s="52" t="n">
        <x:f>C4*'Cohortes MAU'!$D$33+C5*'Cohortes MAU'!$D$32+C6*'Cohortes MAU'!$D$31+C7*'Cohortes MAU'!$D$30+C8*'Cohortes MAU'!$D$29+C9*'Cohortes MAU'!$D$28+C10*'Cohortes MAU'!$D$27+C11*'Cohortes MAU'!$D$26+C12*'Cohortes MAU'!$D$25+C13*'Cohortes MAU'!$D$24+C14*'Cohortes MAU'!$D$23+C15*'Cohortes MAU'!$D$22+C16*'Cohortes MAU'!$D$21+C17*'Cohortes MAU'!$D$20+C18*'Cohortes MAU'!$D$19+C19*'Cohortes MAU'!$D$18+C20*'Cohortes MAU'!$D$17+C21*'Cohortes MAU'!$D$16+C22*'Cohortes MAU'!$D$15+C23*'Cohortes MAU'!$D$14+C24*'Cohortes MAU'!$D$13+C25*'Cohortes MAU'!$D$12+C26*'Cohortes MAU'!$D$11+C27*'Cohortes MAU'!$D$10+C28*'Cohortes MAU'!$D$9+C29*'Cohortes MAU'!$D$8+C30*'Cohortes MAU'!$D$7+C31*'Cohortes MAU'!$D$6+C32*'Cohortes MAU'!$D$5+C33*'Cohortes MAU'!$D$4</x:f>
        <x:v>37214.66118290327</x:v>
      </x:c>
      <x:c r="F33" s="52" t="n">
        <x:f>C31*'Hypothèses'!$C$39</x:f>
        <x:v>274.43219234896793</x:v>
      </x:c>
      <x:c r="G33" s="52" t="n">
        <x:f>SUM($F$4:F33)</x:f>
        <x:v>4069.5973085753385</x:v>
      </x:c>
      <x:c r="H33" s="52" t="n">
        <x:f>C30*'Hypothèses'!$C$40</x:f>
        <x:v>52.775421605570756</x:v>
      </x:c>
      <x:c r="I33" s="52" t="n">
        <x:f>G32*('Hypothèses'!$C$41/12)</x:f>
        <x:v>6.325275193710618</x:v>
      </x:c>
      <x:c r="J33" s="52" t="n">
        <x:f>(H21+J21)*'Hypothèses'!$C$42</x:f>
        <x:v>16.662116110295973</x:v>
      </x:c>
      <x:c r="K33" s="52" t="n">
        <x:f>(I21+K21)*'Hypothèses'!$C$42</x:f>
        <x:v>1.342275636296084</x:v>
      </x:c>
      <x:c r="L33" s="52" t="n">
        <x:f>SUM(H22:K33)</x:f>
        <x:v>666.1731586269166</x:v>
      </x:c>
      <x:c r="M33" s="53" t="n">
        <x:f>F33*'Hypothèses'!$B$6+H33*'Hypothèses'!$B$7+I33*'Hypothèses'!$B$8+J33*'Hypothèses'!$B$7+K33*'Hypothèses'!$B$8</x:f>
        <x:v>7721.605622246546</x:v>
      </x:c>
      <x:c r="N33" s="53" t="n">
        <x:f>M33/(1+'Hypothèses'!$B$9)*(1-'Hypothèses'!$B$10)</x:f>
        <x:v>5469.470649091303</x:v>
      </x:c>
      <x:c r="O33" s="53" t="n">
        <x:f>(MAX(MIN(E33-'Hypothèses'!$B$24,'Hypothèses'!$B$25-'Hypothèses'!$B$24),0)/1000*'Hypothèses'!$B$26+MAX(MIN(E33-'Hypothèses'!$B$25,'Hypothèses'!$B$27-'Hypothèses'!$B$25),0)/1000*'Hypothèses'!$B$28+MAX(E33-'Hypothèses'!$B$27,0)/1000*'Hypothèses'!$B$29)*'Hypothèses'!$B$30</x:f>
        <x:v>48.85864473161308</x:v>
      </x:c>
      <x:c r="P33" s="53" t="n">
        <x:f>IF(A33&gt;='Hypothèses'!$B$12,'Hypothèses'!$B$15,0)+L33*'Hypothèses'!$B$16</x:f>
        <x:v>91.61731586269165</x:v>
      </x:c>
      <x:c r="Q33" s="53" t="n">
        <x:f>MAX(N33*'Hypothèses'!$B$17,'Hypothèses'!$B$18)+'Acquisition'!$H$33</x:f>
        <x:v>820.4205973636955</x:v>
      </x:c>
      <x:c r="R33" s="53" t="n">
        <x:f>'Hypothèses'!$B$23</x:f>
        <x:v>400</x:v>
      </x:c>
      <x:c r="S33" s="53" t="n">
        <x:f>'Hypothèses'!$B$19</x:f>
        <x:v>200</x:v>
      </x:c>
      <x:c r="T33" s="53" t="n">
        <x:f>'Hypothèses'!$B$20</x:f>
        <x:v>100</x:v>
      </x:c>
      <x:c r="U33" s="53" t="n">
        <x:f>'Hypothèses'!$C$45</x:f>
        <x:v>3000</x:v>
      </x:c>
      <x:c r="V33" s="53" t="n">
        <x:f>N33-SUM(O33:T33)-Z33</x:f>
        <x:v>3731.3580349108374</x:v>
      </x:c>
      <x:c r="W33" s="53" t="n">
        <x:f>SUM(O33:U33)+Z33</x:f>
        <x:v>4738.112614180465</x:v>
      </x:c>
      <x:c r="X33" s="53" t="n">
        <x:f>N33-W33</x:f>
        <x:v>731.3580349108379</x:v>
      </x:c>
      <x:c r="Y33" s="53" t="n">
        <x:f>Y32+X33</x:f>
        <x:v>2000.2863614163907</x:v>
      </x:c>
      <x:c r="Z33" t="n">
        <x:f>IF(M33&gt;='Hypothèses'!$B$31*'Hypothèses'!$B$30,M33*'Hypothèses'!$B$32,0)</x:f>
        <x:v>77.21605622246545</x:v>
      </x:c>
    </x:row>
    <x:row r="34">
      <x:c r="A34" s="50" t="n">
        <x:v>31</x:v>
      </x:c>
      <x:c r="B34" s="51" t="n">
        <x:v>47300</x:v>
      </x:c>
      <x:c r="C34" s="113" t="n">
        <x:f>'Acquisition'!$K$34</x:f>
        <x:v>12347.955744577179</x:v>
      </x:c>
      <x:c r="D34" s="52" t="n">
        <x:f>SUM($C$4:C34)</x:f>
        <x:v>198421.26165909355</x:v>
      </x:c>
      <x:c r="E34" s="52" t="n">
        <x:f>C4*'Cohortes MAU'!$D$34+C5*'Cohortes MAU'!$D$33+C6*'Cohortes MAU'!$D$32+C7*'Cohortes MAU'!$D$31+C8*'Cohortes MAU'!$D$30+C9*'Cohortes MAU'!$D$29+C10*'Cohortes MAU'!$D$28+C11*'Cohortes MAU'!$D$27+C12*'Cohortes MAU'!$D$26+C13*'Cohortes MAU'!$D$25+C14*'Cohortes MAU'!$D$24+C15*'Cohortes MAU'!$D$23+C16*'Cohortes MAU'!$D$22+C17*'Cohortes MAU'!$D$21+C18*'Cohortes MAU'!$D$20+C19*'Cohortes MAU'!$D$19+C20*'Cohortes MAU'!$D$18+C21*'Cohortes MAU'!$D$17+C22*'Cohortes MAU'!$D$16+C23*'Cohortes MAU'!$D$15+C24*'Cohortes MAU'!$D$14+C25*'Cohortes MAU'!$D$13+C26*'Cohortes MAU'!$D$12+C27*'Cohortes MAU'!$D$11+C28*'Cohortes MAU'!$D$10+C29*'Cohortes MAU'!$D$9+C30*'Cohortes MAU'!$D$8+C31*'Cohortes MAU'!$D$7+C32*'Cohortes MAU'!$D$6+C33*'Cohortes MAU'!$D$5+C34*'Cohortes MAU'!$D$4</x:f>
        <x:v>39684.25233181871</x:v>
      </x:c>
      <x:c r="F34" s="52" t="n">
        <x:f>C32*'Hypothèses'!$C$39</x:f>
        <x:v>285.40948004292665</x:v>
      </x:c>
      <x:c r="G34" s="52" t="n">
        <x:f>SUM($F$4:F34)</x:f>
        <x:v>4355.006788618265</x:v>
      </x:c>
      <x:c r="H34" s="52" t="n">
        <x:f>C31*'Hypothèses'!$C$40</x:f>
        <x:v>54.88643846979358</x:v>
      </x:c>
      <x:c r="I34" s="52" t="n">
        <x:f>G33*('Hypothèses'!$C$41/12)</x:f>
        <x:v>6.782662180958898</x:v>
      </x:c>
      <x:c r="J34" s="52" t="n">
        <x:f>(H22+J22)*'Hypothèses'!$C$42</x:f>
        <x:v>17.66184307691373</x:v>
      </x:c>
      <x:c r="K34" s="52" t="n">
        <x:f>(I22+K22)*'Hypothèses'!$C$42</x:f>
        <x:v>1.4894576619370317</x:v>
      </x:c>
      <x:c r="L34" s="52" t="n">
        <x:f>SUM(H23:K34)</x:f>
        <x:v>715.0747254517688</x:v>
      </x:c>
      <x:c r="M34" s="53" t="n">
        <x:f>F34*'Hypothèses'!$B$6+H34*'Hypothèses'!$B$7+I34*'Hypothèses'!$B$8+J34*'Hypothèses'!$B$7+K34*'Hypothèses'!$B$8</x:f>
        <x:v>8046.418145303346</x:v>
      </x:c>
      <x:c r="N34" s="53" t="n">
        <x:f>M34/(1+'Hypothèses'!$B$9)*(1-'Hypothèses'!$B$10)</x:f>
        <x:v>5699.546186256537</x:v>
      </x:c>
      <x:c r="O34" s="53" t="n">
        <x:f>(MAX(MIN(E34-'Hypothèses'!$B$24,'Hypothèses'!$B$25-'Hypothèses'!$B$24),0)/1000*'Hypothèses'!$B$26+MAX(MIN(E34-'Hypothèses'!$B$25,'Hypothèses'!$B$27-'Hypothèses'!$B$25),0)/1000*'Hypothèses'!$B$28+MAX(E34-'Hypothèses'!$B$27,0)/1000*'Hypothèses'!$B$29)*'Hypothèses'!$B$30</x:f>
        <x:v>58.73700932727483</x:v>
      </x:c>
      <x:c r="P34" s="53" t="n">
        <x:f>IF(A34&gt;='Hypothèses'!$B$12,'Hypothèses'!$B$15,0)+L34*'Hypothèses'!$B$16</x:f>
        <x:v>96.50747254517688</x:v>
      </x:c>
      <x:c r="Q34" s="53" t="n">
        <x:f>MAX(N34*'Hypothèses'!$B$17,'Hypothèses'!$B$18)+'Acquisition'!$H$34</x:f>
        <x:v>854.9319279384805</x:v>
      </x:c>
      <x:c r="R34" s="53" t="n">
        <x:f>'Hypothèses'!$B$23</x:f>
        <x:v>400</x:v>
      </x:c>
      <x:c r="S34" s="53" t="n">
        <x:f>'Hypothèses'!$B$19</x:f>
        <x:v>200</x:v>
      </x:c>
      <x:c r="T34" s="53" t="n">
        <x:f>'Hypothèses'!$B$20</x:f>
        <x:v>100</x:v>
      </x:c>
      <x:c r="U34" s="53" t="n">
        <x:f>'Hypothèses'!$C$45</x:f>
        <x:v>3000</x:v>
      </x:c>
      <x:c r="V34" s="53" t="n">
        <x:f>N34-SUM(O34:T34)-Z34</x:f>
        <x:v>3908.9055949925714</x:v>
      </x:c>
      <x:c r="W34" s="53" t="n">
        <x:f>SUM(O34:U34)+Z34</x:f>
        <x:v>4790.640591263966</x:v>
      </x:c>
      <x:c r="X34" s="53" t="n">
        <x:f>N34-W34</x:f>
        <x:v>908.9055949925714</x:v>
      </x:c>
      <x:c r="Y34" s="53" t="n">
        <x:f>Y33+X34</x:f>
        <x:v>2909.191956408962</x:v>
      </x:c>
      <x:c r="Z34" t="n">
        <x:f>IF(M34&gt;='Hypothèses'!$B$31*'Hypothèses'!$B$30,M34*'Hypothèses'!$B$32,0)</x:f>
        <x:v>80.46418145303346</x:v>
      </x:c>
    </x:row>
    <x:row r="35">
      <x:c r="A35" s="50" t="n">
        <x:v>32</x:v>
      </x:c>
      <x:c r="B35" s="51" t="n">
        <x:v>47331</x:v>
      </x:c>
      <x:c r="C35" s="113" t="n">
        <x:f>'Acquisition'!$K$35</x:f>
        <x:v>12841.873974360267</x:v>
      </x:c>
      <x:c r="D35" s="52" t="n">
        <x:f>SUM($C$4:C35)</x:f>
        <x:v>211263.1356334538</x:v>
      </x:c>
      <x:c r="E35" s="52" t="n">
        <x:f>C4*'Cohortes MAU'!$D$35+C5*'Cohortes MAU'!$D$34+C6*'Cohortes MAU'!$D$33+C7*'Cohortes MAU'!$D$32+C8*'Cohortes MAU'!$D$31+C9*'Cohortes MAU'!$D$30+C10*'Cohortes MAU'!$D$29+C11*'Cohortes MAU'!$D$28+C12*'Cohortes MAU'!$D$27+C13*'Cohortes MAU'!$D$26+C14*'Cohortes MAU'!$D$25+C15*'Cohortes MAU'!$D$24+C16*'Cohortes MAU'!$D$23+C17*'Cohortes MAU'!$D$22+C18*'Cohortes MAU'!$D$21+C19*'Cohortes MAU'!$D$20+C20*'Cohortes MAU'!$D$19+C21*'Cohortes MAU'!$D$18+C22*'Cohortes MAU'!$D$17+C23*'Cohortes MAU'!$D$16+C24*'Cohortes MAU'!$D$15+C25*'Cohortes MAU'!$D$14+C26*'Cohortes MAU'!$D$13+C27*'Cohortes MAU'!$D$12+C28*'Cohortes MAU'!$D$11+C29*'Cohortes MAU'!$D$10+C30*'Cohortes MAU'!$D$9+C31*'Cohortes MAU'!$D$8+C32*'Cohortes MAU'!$D$7+C33*'Cohortes MAU'!$D$6+C34*'Cohortes MAU'!$D$5+C35*'Cohortes MAU'!$D$4</x:f>
        <x:v>42252.627126690764</x:v>
      </x:c>
      <x:c r="F35" s="52" t="n">
        <x:f>C33*'Hypothèses'!$C$39</x:f>
        <x:v>296.8258592446437</x:v>
      </x:c>
      <x:c r="G35" s="52" t="n">
        <x:f>SUM($F$4:F35)</x:f>
        <x:v>4651.832647862909</x:v>
      </x:c>
      <x:c r="H35" s="52" t="n">
        <x:f>C32*'Hypothèses'!$C$40</x:f>
        <x:v>57.081896008585325</x:v>
      </x:c>
      <x:c r="I35" s="52" t="n">
        <x:f>G34*('Hypothèses'!$C$41/12)</x:f>
        <x:v>7.2583446476971085</x:v>
      </x:c>
      <x:c r="J35" s="52" t="n">
        <x:f>(H23+J23)*'Hypothèses'!$C$42</x:f>
        <x:v>18.721553661528553</x:v>
      </x:c>
      <x:c r="K35" s="52" t="n">
        <x:f>(I23+K23)*'Hypothèses'!$C$42</x:f>
        <x:v>1.6454706091164364</x:v>
      </x:c>
      <x:c r="L35" s="52" t="n">
        <x:f>SUM(H24:K35)</x:f>
        <x:v>765.8369499276213</x:v>
      </x:c>
      <x:c r="M35" s="53" t="n">
        <x:f>F35*'Hypothèses'!$B$6+H35*'Hypothèses'!$B$7+I35*'Hypothèses'!$B$8+J35*'Hypothèses'!$B$7+K35*'Hypothèses'!$B$8</x:f>
        <x:v>8384.881648890845</x:v>
      </x:c>
      <x:c r="N35" s="53" t="n">
        <x:f>M35/(1+'Hypothèses'!$B$9)*(1-'Hypothèses'!$B$10)</x:f>
        <x:v>5939.2911679643485</x:v>
      </x:c>
      <x:c r="O35" s="53" t="n">
        <x:f>(MAX(MIN(E35-'Hypothèses'!$B$24,'Hypothèses'!$B$25-'Hypothèses'!$B$24),0)/1000*'Hypothèses'!$B$26+MAX(MIN(E35-'Hypothèses'!$B$25,'Hypothèses'!$B$27-'Hypothèses'!$B$25),0)/1000*'Hypothèses'!$B$28+MAX(E35-'Hypothèses'!$B$27,0)/1000*'Hypothèses'!$B$29)*'Hypothèses'!$B$30</x:f>
        <x:v>69.01050850676306</x:v>
      </x:c>
      <x:c r="P35" s="53" t="n">
        <x:f>IF(A35&gt;='Hypothèses'!$B$12,'Hypothèses'!$B$15,0)+L35*'Hypothèses'!$B$16</x:f>
        <x:v>101.58369499276213</x:v>
      </x:c>
      <x:c r="Q35" s="53" t="n">
        <x:f>MAX(N35*'Hypothèses'!$B$17,'Hypothèses'!$B$18)+'Acquisition'!$H$35</x:f>
        <x:v>890.8936751946522</x:v>
      </x:c>
      <x:c r="R35" s="53" t="n">
        <x:f>'Hypothèses'!$B$23</x:f>
        <x:v>400</x:v>
      </x:c>
      <x:c r="S35" s="53" t="n">
        <x:f>'Hypothèses'!$B$19</x:f>
        <x:v>200</x:v>
      </x:c>
      <x:c r="T35" s="53" t="n">
        <x:f>'Hypothèses'!$B$20</x:f>
        <x:v>100</x:v>
      </x:c>
      <x:c r="U35" s="53" t="n">
        <x:f>'Hypothèses'!$C$45</x:f>
        <x:v>3000</x:v>
      </x:c>
      <x:c r="V35" s="53" t="n">
        <x:f>N35-SUM(O35:T35)-Z35</x:f>
        <x:v>4093.9544727812627</x:v>
      </x:c>
      <x:c r="W35" s="53" t="n">
        <x:f>SUM(O35:U35)+Z35</x:f>
        <x:v>4845.336695183086</x:v>
      </x:c>
      <x:c r="X35" s="53" t="n">
        <x:f>N35-W35</x:f>
        <x:v>1093.9544727812627</x:v>
      </x:c>
      <x:c r="Y35" s="53" t="n">
        <x:f>Y34+X35</x:f>
        <x:v>4003.146429190225</x:v>
      </x:c>
      <x:c r="Z35" t="n">
        <x:f>IF(M35&gt;='Hypothèses'!$B$31*'Hypothèses'!$B$30,M35*'Hypothèses'!$B$32,0)</x:f>
        <x:v>83.84881648890845</x:v>
      </x:c>
    </x:row>
    <x:row r="36">
      <x:c r="A36" s="50" t="n">
        <x:v>33</x:v>
      </x:c>
      <x:c r="B36" s="51" t="n">
        <x:v>47362</x:v>
      </x:c>
      <x:c r="C36" s="113" t="n">
        <x:f>'Acquisition'!$K$36</x:f>
        <x:v>13355.548933334678</x:v>
      </x:c>
      <x:c r="D36" s="52" t="n">
        <x:f>SUM($C$4:C36)</x:f>
        <x:v>224618.6845667885</x:v>
      </x:c>
      <x:c r="E36" s="52" t="n">
        <x:f>C4*'Cohortes MAU'!$D$36+C5*'Cohortes MAU'!$D$35+C6*'Cohortes MAU'!$D$34+C7*'Cohortes MAU'!$D$33+C8*'Cohortes MAU'!$D$32+C9*'Cohortes MAU'!$D$31+C10*'Cohortes MAU'!$D$30+C11*'Cohortes MAU'!$D$29+C12*'Cohortes MAU'!$D$28+C13*'Cohortes MAU'!$D$27+C14*'Cohortes MAU'!$D$26+C15*'Cohortes MAU'!$D$25+C16*'Cohortes MAU'!$D$24+C17*'Cohortes MAU'!$D$23+C18*'Cohortes MAU'!$D$22+C19*'Cohortes MAU'!$D$21+C20*'Cohortes MAU'!$D$20+C21*'Cohortes MAU'!$D$19+C22*'Cohortes MAU'!$D$18+C23*'Cohortes MAU'!$D$17+C24*'Cohortes MAU'!$D$16+C25*'Cohortes MAU'!$D$15+C26*'Cohortes MAU'!$D$14+C27*'Cohortes MAU'!$D$13+C28*'Cohortes MAU'!$D$12+C29*'Cohortes MAU'!$D$11+C30*'Cohortes MAU'!$D$10+C31*'Cohortes MAU'!$D$9+C32*'Cohortes MAU'!$D$8+C33*'Cohortes MAU'!$D$7+C34*'Cohortes MAU'!$D$6+C35*'Cohortes MAU'!$D$5+C36*'Cohortes MAU'!$D$4</x:f>
        <x:v>44923.7369133577</x:v>
      </x:c>
      <x:c r="F36" s="52" t="n">
        <x:f>C34*'Hypothèses'!$C$39</x:f>
        <x:v>308.6988936144295</x:v>
      </x:c>
      <x:c r="G36" s="52" t="n">
        <x:f>SUM($F$4:F36)</x:f>
        <x:v>4960.531541477339</x:v>
      </x:c>
      <x:c r="H36" s="52" t="n">
        <x:f>C33*'Hypothèses'!$C$40</x:f>
        <x:v>59.36517184892874</x:v>
      </x:c>
      <x:c r="I36" s="52" t="n">
        <x:f>G35*('Hypothèses'!$C$41/12)</x:f>
        <x:v>7.753054413104849</x:v>
      </x:c>
      <x:c r="J36" s="52" t="n">
        <x:f>(H24+J24)*'Hypothèses'!$C$42</x:f>
        <x:v>19.844846881220267</x:v>
      </x:c>
      <x:c r="K36" s="52" t="n">
        <x:f>(I24+K24)*'Hypothèses'!$C$42</x:f>
        <x:v>1.810844333126605</x:v>
      </x:c>
      <x:c r="L36" s="52" t="n">
        <x:f>SUM(H25:K36)</x:f>
        <x:v>818.5180487134235</x:v>
      </x:c>
      <x:c r="M36" s="53" t="n">
        <x:f>F36*'Hypothèses'!$B$6+H36*'Hypothèses'!$B$7+I36*'Hypothèses'!$B$8+J36*'Hypothèses'!$B$7+K36*'Hypothèses'!$B$8</x:f>
        <x:v>8737.581681006779</x:v>
      </x:c>
      <x:c r="N36" s="53" t="n">
        <x:f>M36/(1+'Hypothèses'!$B$9)*(1-'Hypothèses'!$B$10)</x:f>
        <x:v>6189.120357379802</x:v>
      </x:c>
      <x:c r="O36" s="53" t="n">
        <x:f>(MAX(MIN(E36-'Hypothèses'!$B$24,'Hypothèses'!$B$25-'Hypothèses'!$B$24),0)/1000*'Hypothèses'!$B$26+MAX(MIN(E36-'Hypothèses'!$B$25,'Hypothèses'!$B$27-'Hypothèses'!$B$25),0)/1000*'Hypothèses'!$B$28+MAX(E36-'Hypothèses'!$B$27,0)/1000*'Hypothèses'!$B$29)*'Hypothèses'!$B$30</x:f>
        <x:v>79.6949476534308</x:v>
      </x:c>
      <x:c r="P36" s="53" t="n">
        <x:f>IF(A36&gt;='Hypothèses'!$B$12,'Hypothèses'!$B$15,0)+L36*'Hypothèses'!$B$16</x:f>
        <x:v>106.85180487134235</x:v>
      </x:c>
      <x:c r="Q36" s="53" t="n">
        <x:f>MAX(N36*'Hypothèses'!$B$17,'Hypothèses'!$B$18)+'Acquisition'!$H$36</x:f>
        <x:v>928.3680536069703</x:v>
      </x:c>
      <x:c r="R36" s="53" t="n">
        <x:f>'Hypothèses'!$B$23</x:f>
        <x:v>400</x:v>
      </x:c>
      <x:c r="S36" s="53" t="n">
        <x:f>'Hypothèses'!$B$19</x:f>
        <x:v>200</x:v>
      </x:c>
      <x:c r="T36" s="53" t="n">
        <x:f>'Hypothèses'!$B$20</x:f>
        <x:v>100</x:v>
      </x:c>
      <x:c r="U36" s="53" t="n">
        <x:f>'Hypothèses'!$C$45</x:f>
        <x:v>3000</x:v>
      </x:c>
      <x:c r="V36" s="53" t="n">
        <x:f>N36-SUM(O36:T36)-Z36</x:f>
        <x:v>4286.829734437991</x:v>
      </x:c>
      <x:c r="W36" s="53" t="n">
        <x:f>SUM(O36:U36)+Z36</x:f>
        <x:v>4902.290622941811</x:v>
      </x:c>
      <x:c r="X36" s="53" t="n">
        <x:f>N36-W36</x:f>
        <x:v>1286.8297344379907</x:v>
      </x:c>
      <x:c r="Y36" s="53" t="n">
        <x:f>Y35+X36</x:f>
        <x:v>5289.9761636282155</x:v>
      </x:c>
      <x:c r="Z36" t="n">
        <x:f>IF(M36&gt;='Hypothèses'!$B$31*'Hypothèses'!$B$30,M36*'Hypothèses'!$B$32,0)</x:f>
        <x:v>87.37581681006779</x:v>
      </x:c>
    </x:row>
    <x:row r="37">
      <x:c r="A37" s="50" t="n">
        <x:v>34</x:v>
      </x:c>
      <x:c r="B37" s="51" t="n">
        <x:v>47392</x:v>
      </x:c>
      <x:c r="C37" s="113" t="n">
        <x:f>'Acquisition'!$K$37</x:f>
        <x:v>13889.770890668065</x:v>
      </x:c>
      <x:c r="D37" s="52" t="n">
        <x:f>SUM($C$4:C37)</x:f>
        <x:v>238508.45545745656</x:v>
      </x:c>
      <x:c r="E37" s="52" t="n">
        <x:f>C4*'Cohortes MAU'!$D$37+C5*'Cohortes MAU'!$D$36+C6*'Cohortes MAU'!$D$35+C7*'Cohortes MAU'!$D$34+C8*'Cohortes MAU'!$D$33+C9*'Cohortes MAU'!$D$32+C10*'Cohortes MAU'!$D$31+C11*'Cohortes MAU'!$D$30+C12*'Cohortes MAU'!$D$29+C13*'Cohortes MAU'!$D$28+C14*'Cohortes MAU'!$D$27+C15*'Cohortes MAU'!$D$26+C16*'Cohortes MAU'!$D$25+C17*'Cohortes MAU'!$D$24+C18*'Cohortes MAU'!$D$23+C19*'Cohortes MAU'!$D$22+C20*'Cohortes MAU'!$D$21+C21*'Cohortes MAU'!$D$20+C22*'Cohortes MAU'!$D$19+C23*'Cohortes MAU'!$D$18+C24*'Cohortes MAU'!$D$17+C25*'Cohortes MAU'!$D$16+C26*'Cohortes MAU'!$D$15+C27*'Cohortes MAU'!$D$14+C28*'Cohortes MAU'!$D$13+C29*'Cohortes MAU'!$D$12+C30*'Cohortes MAU'!$D$11+C31*'Cohortes MAU'!$D$10+C32*'Cohortes MAU'!$D$9+C33*'Cohortes MAU'!$D$8+C34*'Cohortes MAU'!$D$7+C35*'Cohortes MAU'!$D$6+C36*'Cohortes MAU'!$D$5+C37*'Cohortes MAU'!$D$4</x:f>
        <x:v>47701.69109149132</x:v>
      </x:c>
      <x:c r="F37" s="52" t="n">
        <x:f>C35*'Hypothèses'!$C$39</x:f>
        <x:v>321.0468493590067</x:v>
      </x:c>
      <x:c r="G37" s="52" t="n">
        <x:f>SUM($F$4:F37)</x:f>
        <x:v>5281.5783908363455</x:v>
      </x:c>
      <x:c r="H37" s="52" t="n">
        <x:f>C34*'Hypothèses'!$C$40</x:f>
        <x:v>61.739778722885895</x:v>
      </x:c>
      <x:c r="I37" s="52" t="n">
        <x:f>G36*('Hypothèses'!$C$41/12)</x:f>
        <x:v>8.267552569128899</x:v>
      </x:c>
      <x:c r="J37" s="52" t="n">
        <x:f>(H25+J25)*'Hypothèses'!$C$42</x:f>
        <x:v>26.748285256691887</x:v>
      </x:c>
      <x:c r="K37" s="52" t="n">
        <x:f>(I25+K25)*'Hypothèses'!$C$42</x:f>
        <x:v>2.253824581369704</x:v>
      </x:c>
      <x:c r="L37" s="52" t="n">
        <x:f>SUM(H26:K37)</x:f>
        <x:v>869.1906401133974</x:v>
      </x:c>
      <x:c r="M37" s="53" t="n">
        <x:f>F37*'Hypothèses'!$B$6+H37*'Hypothèses'!$B$7+I37*'Hypothèses'!$B$8+J37*'Hypothèses'!$B$7+K37*'Hypothèses'!$B$8</x:f>
        <x:v>9281.80588667255</x:v>
      </x:c>
      <x:c r="N37" s="53" t="n">
        <x:f>M37/(1+'Hypothèses'!$B$9)*(1-'Hypothèses'!$B$10)</x:f>
        <x:v>6574.612503059723</x:v>
      </x:c>
      <x:c r="O37" s="53" t="n">
        <x:f>(MAX(MIN(E37-'Hypothèses'!$B$24,'Hypothèses'!$B$25-'Hypothèses'!$B$24),0)/1000*'Hypothèses'!$B$26+MAX(MIN(E37-'Hypothèses'!$B$25,'Hypothèses'!$B$27-'Hypothèses'!$B$25),0)/1000*'Hypothèses'!$B$28+MAX(E37-'Hypothèses'!$B$27,0)/1000*'Hypothèses'!$B$29)*'Hypothèses'!$B$30</x:f>
        <x:v>90.80676436596526</x:v>
      </x:c>
      <x:c r="P37" s="53" t="n">
        <x:f>IF(A37&gt;='Hypothèses'!$B$12,'Hypothèses'!$B$15,0)+L37*'Hypothèses'!$B$16</x:f>
        <x:v>111.91906401133974</x:v>
      </x:c>
      <x:c r="Q37" s="53" t="n">
        <x:f>MAX(N37*'Hypothèses'!$B$17,'Hypothèses'!$B$18)+'Acquisition'!$H$37</x:f>
        <x:v>986.1918754589584</x:v>
      </x:c>
      <x:c r="R37" s="53" t="n">
        <x:f>'Hypothèses'!$B$23</x:f>
        <x:v>400</x:v>
      </x:c>
      <x:c r="S37" s="53" t="n">
        <x:f>'Hypothèses'!$B$19</x:f>
        <x:v>200</x:v>
      </x:c>
      <x:c r="T37" s="53" t="n">
        <x:f>'Hypothèses'!$B$20</x:f>
        <x:v>100</x:v>
      </x:c>
      <x:c r="U37" s="53" t="n">
        <x:f>'Hypothèses'!$C$45</x:f>
        <x:v>3000</x:v>
      </x:c>
      <x:c r="V37" s="53" t="n">
        <x:f>N37-SUM(O37:T37)-Z37</x:f>
        <x:v>4592.876740356734</x:v>
      </x:c>
      <x:c r="W37" s="53" t="n">
        <x:f>SUM(O37:U37)+Z37</x:f>
        <x:v>4981.735762702989</x:v>
      </x:c>
      <x:c r="X37" s="53" t="n">
        <x:f>N37-W37</x:f>
        <x:v>1592.8767403567344</x:v>
      </x:c>
      <x:c r="Y37" s="53" t="n">
        <x:f>Y36+X37</x:f>
        <x:v>6882.85290398495</x:v>
      </x:c>
      <x:c r="Z37" t="n">
        <x:f>IF(M37&gt;='Hypothèses'!$B$31*'Hypothèses'!$B$30,M37*'Hypothèses'!$B$32,0)</x:f>
        <x:v>92.8180588667255</x:v>
      </x:c>
    </x:row>
    <x:row r="38">
      <x:c r="A38" s="50" t="n">
        <x:v>35</x:v>
      </x:c>
      <x:c r="B38" s="51" t="n">
        <x:v>47423</x:v>
      </x:c>
      <x:c r="C38" s="113" t="n">
        <x:f>'Acquisition'!$K$38</x:f>
        <x:v>14445.361726294788</x:v>
      </x:c>
      <x:c r="D38" s="52" t="n">
        <x:f>SUM($C$4:C38)</x:f>
        <x:v>252953.81718375135</x:v>
      </x:c>
      <x:c r="E38" s="52" t="n">
        <x:f>C4*'Cohortes MAU'!$D$38+C5*'Cohortes MAU'!$D$37+C6*'Cohortes MAU'!$D$36+C7*'Cohortes MAU'!$D$35+C8*'Cohortes MAU'!$D$34+C9*'Cohortes MAU'!$D$33+C10*'Cohortes MAU'!$D$32+C11*'Cohortes MAU'!$D$31+C12*'Cohortes MAU'!$D$30+C13*'Cohortes MAU'!$D$29+C14*'Cohortes MAU'!$D$28+C15*'Cohortes MAU'!$D$27+C16*'Cohortes MAU'!$D$26+C17*'Cohortes MAU'!$D$25+C18*'Cohortes MAU'!$D$24+C19*'Cohortes MAU'!$D$23+C20*'Cohortes MAU'!$D$22+C21*'Cohortes MAU'!$D$21+C22*'Cohortes MAU'!$D$20+C23*'Cohortes MAU'!$D$19+C24*'Cohortes MAU'!$D$18+C25*'Cohortes MAU'!$D$17+C26*'Cohortes MAU'!$D$16+C27*'Cohortes MAU'!$D$15+C28*'Cohortes MAU'!$D$14+C29*'Cohortes MAU'!$D$13+C30*'Cohortes MAU'!$D$12+C31*'Cohortes MAU'!$D$11+C32*'Cohortes MAU'!$D$10+C33*'Cohortes MAU'!$D$9+C34*'Cohortes MAU'!$D$8+C35*'Cohortes MAU'!$D$7+C36*'Cohortes MAU'!$D$6+C37*'Cohortes MAU'!$D$5+C38*'Cohortes MAU'!$D$4</x:f>
        <x:v>50590.763436750276</x:v>
      </x:c>
      <x:c r="F38" s="52" t="n">
        <x:f>C36*'Hypothèses'!$C$39</x:f>
        <x:v>333.88872333336695</x:v>
      </x:c>
      <x:c r="G38" s="52" t="n">
        <x:f>SUM($F$4:F38)</x:f>
        <x:v>5615.467114169713</x:v>
      </x:c>
      <x:c r="H38" s="52" t="n">
        <x:f>C35*'Hypothèses'!$C$40</x:f>
        <x:v>64.20936987180134</x:v>
      </x:c>
      <x:c r="I38" s="52" t="n">
        <x:f>G37*('Hypothèses'!$C$41/12)</x:f>
        <x:v>8.80263065139391</x:v>
      </x:c>
      <x:c r="J38" s="52" t="n">
        <x:f>(H26+J26)*'Hypothèses'!$C$42</x:f>
        <x:v>28.46743732334537</x:v>
      </x:c>
      <x:c r="K38" s="52" t="n">
        <x:f>(I26+K26)*'Hypothèses'!$C$42</x:f>
        <x:v>2.4910532257309157</x:v>
      </x:c>
      <x:c r="L38" s="52" t="n">
        <x:f>SUM(H27:K38)</x:f>
        <x:v>921.5636469372087</x:v>
      </x:c>
      <x:c r="M38" s="53" t="n">
        <x:f>F38*'Hypothèses'!$B$6+H38*'Hypothèses'!$B$7+I38*'Hypothèses'!$B$8+J38*'Hypothèses'!$B$7+K38*'Hypothèses'!$B$8</x:f>
        <x:v>9679.57376792018</x:v>
      </x:c>
      <x:c r="N38" s="53" t="n">
        <x:f>M38/(1+'Hypothèses'!$B$9)*(1-'Hypothèses'!$B$10)</x:f>
        <x:v>6856.364752276794</x:v>
      </x:c>
      <x:c r="O38" s="53" t="n">
        <x:f>(MAX(MIN(E38-'Hypothèses'!$B$24,'Hypothèses'!$B$25-'Hypothèses'!$B$24),0)/1000*'Hypothèses'!$B$26+MAX(MIN(E38-'Hypothèses'!$B$25,'Hypothèses'!$B$27-'Hypothèses'!$B$25),0)/1000*'Hypothèses'!$B$28+MAX(E38-'Hypothèses'!$B$27,0)/1000*'Hypothèses'!$B$29)*'Hypothèses'!$B$30</x:f>
        <x:v>102.3630537470011</x:v>
      </x:c>
      <x:c r="P38" s="53" t="n">
        <x:f>IF(A38&gt;='Hypothèses'!$B$12,'Hypothèses'!$B$15,0)+L38*'Hypothèses'!$B$16</x:f>
        <x:v>117.15636469372087</x:v>
      </x:c>
      <x:c r="Q38" s="53" t="n">
        <x:f>MAX(N38*'Hypothèses'!$B$17,'Hypothèses'!$B$18)+'Acquisition'!$H$38</x:f>
        <x:v>1028.454712841519</x:v>
      </x:c>
      <x:c r="R38" s="53" t="n">
        <x:f>'Hypothèses'!$B$23</x:f>
        <x:v>400</x:v>
      </x:c>
      <x:c r="S38" s="53" t="n">
        <x:f>'Hypothèses'!$B$19</x:f>
        <x:v>200</x:v>
      </x:c>
      <x:c r="T38" s="53" t="n">
        <x:f>'Hypothèses'!$B$20</x:f>
        <x:v>100</x:v>
      </x:c>
      <x:c r="U38" s="53" t="n">
        <x:f>'Hypothèses'!$C$45</x:f>
        <x:v>3000</x:v>
      </x:c>
      <x:c r="V38" s="53" t="n">
        <x:f>N38-SUM(O38:T38)-Z38</x:f>
        <x:v>4811.594883315352</x:v>
      </x:c>
      <x:c r="W38" s="53" t="n">
        <x:f>SUM(O38:U38)+Z38</x:f>
        <x:v>5044.769868961443</x:v>
      </x:c>
      <x:c r="X38" s="53" t="n">
        <x:f>N38-W38</x:f>
        <x:v>1811.5948833153516</x:v>
      </x:c>
      <x:c r="Y38" s="53" t="n">
        <x:f>Y37+X38</x:f>
        <x:v>8694.447787300302</x:v>
      </x:c>
      <x:c r="Z38" t="n">
        <x:f>IF(M38&gt;='Hypothèses'!$B$31*'Hypothèses'!$B$30,M38*'Hypothèses'!$B$32,0)</x:f>
        <x:v>96.79573767920179</x:v>
      </x:c>
    </x:row>
    <x:row r="39">
      <x:c r="A39" s="50" t="n">
        <x:v>36</x:v>
      </x:c>
      <x:c r="B39" s="51" t="n">
        <x:v>47453</x:v>
      </x:c>
      <x:c r="C39" s="113" t="n">
        <x:f>'Acquisition'!$K$39</x:f>
        <x:v>15023.176195346581</x:v>
      </x:c>
      <x:c r="D39" s="52" t="n">
        <x:f>SUM($C$4:C39)</x:f>
        <x:v>267976.99337909796</x:v>
      </x:c>
      <x:c r="E39" s="52" t="n">
        <x:f>C4*'Cohortes MAU'!$D$39+C5*'Cohortes MAU'!$D$38+C6*'Cohortes MAU'!$D$37+C7*'Cohortes MAU'!$D$36+C8*'Cohortes MAU'!$D$35+C9*'Cohortes MAU'!$D$34+C10*'Cohortes MAU'!$D$33+C11*'Cohortes MAU'!$D$32+C12*'Cohortes MAU'!$D$31+C13*'Cohortes MAU'!$D$30+C14*'Cohortes MAU'!$D$29+C15*'Cohortes MAU'!$D$28+C16*'Cohortes MAU'!$D$27+C17*'Cohortes MAU'!$D$26+C18*'Cohortes MAU'!$D$25+C19*'Cohortes MAU'!$D$24+C20*'Cohortes MAU'!$D$23+C21*'Cohortes MAU'!$D$22+C22*'Cohortes MAU'!$D$21+C23*'Cohortes MAU'!$D$20+C24*'Cohortes MAU'!$D$19+C25*'Cohortes MAU'!$D$18+C26*'Cohortes MAU'!$D$17+C27*'Cohortes MAU'!$D$16+C28*'Cohortes MAU'!$D$15+C29*'Cohortes MAU'!$D$14+C30*'Cohortes MAU'!$D$13+C31*'Cohortes MAU'!$D$12+C32*'Cohortes MAU'!$D$11+C33*'Cohortes MAU'!$D$10+C34*'Cohortes MAU'!$D$9+C35*'Cohortes MAU'!$D$8+C36*'Cohortes MAU'!$D$7+C37*'Cohortes MAU'!$D$6+C38*'Cohortes MAU'!$D$5+C39*'Cohortes MAU'!$D$4</x:f>
        <x:v>53595.39867581959</x:v>
      </x:c>
      <x:c r="F39" s="52" t="n">
        <x:f>C37*'Hypothèses'!$C$39</x:f>
        <x:v>347.24427226670167</x:v>
      </x:c>
      <x:c r="G39" s="52" t="n">
        <x:f>SUM($F$4:F39)</x:f>
        <x:v>5962.711386436415</x:v>
      </x:c>
      <x:c r="H39" s="52" t="n">
        <x:f>C36*'Hypothèses'!$C$40</x:f>
        <x:v>66.77774466667339</x:v>
      </x:c>
      <x:c r="I39" s="52" t="n">
        <x:f>G38*('Hypothèses'!$C$41/12)</x:f>
        <x:v>9.359111856949522</x:v>
      </x:c>
      <x:c r="J39" s="52" t="n">
        <x:f>(H27+J27)*'Hypothèses'!$C$42</x:f>
        <x:v>30.29887891009822</x:v>
      </x:c>
      <x:c r="K39" s="52" t="n">
        <x:f>(I27+K27)*'Hypothèses'!$C$42</x:f>
        <x:v>2.7435438833150676</x:v>
      </x:c>
      <x:c r="L39" s="52" t="n">
        <x:f>SUM(H28:K39)</x:f>
        <x:v>975.6722215985558</x:v>
      </x:c>
      <x:c r="M39" s="53" t="n">
        <x:f>F39*'Hypothèses'!$B$6+H39*'Hypothèses'!$B$7+I39*'Hypothèses'!$B$8+J39*'Hypothèses'!$B$7+K39*'Hypothèses'!$B$8</x:f>
        <x:v>10094.673031926635</x:v>
      </x:c>
      <x:c r="N39" s="53" t="n">
        <x:f>M39/(1+'Hypothèses'!$B$9)*(1-'Hypothèses'!$B$10)</x:f>
        <x:v>7150.3933976147</x:v>
      </x:c>
      <x:c r="O39" s="53" t="n">
        <x:f>(MAX(MIN(E39-'Hypothèses'!$B$24,'Hypothèses'!$B$25-'Hypothèses'!$B$24),0)/1000*'Hypothèses'!$B$26+MAX(MIN(E39-'Hypothèses'!$B$25,'Hypothèses'!$B$27-'Hypothèses'!$B$25),0)/1000*'Hypothèses'!$B$28+MAX(E39-'Hypothèses'!$B$27,0)/1000*'Hypothèses'!$B$29)*'Hypothèses'!$B$30</x:f>
        <x:v>114.38159470327835</x:v>
      </x:c>
      <x:c r="P39" s="53" t="n">
        <x:f>IF(A39&gt;='Hypothèses'!$B$12,'Hypothèses'!$B$15,0)+L39*'Hypothèses'!$B$16</x:f>
        <x:v>122.56722215985559</x:v>
      </x:c>
      <x:c r="Q39" s="53" t="n">
        <x:f>MAX(N39*'Hypothèses'!$B$17,'Hypothèses'!$B$18)+'Acquisition'!$H$39</x:f>
        <x:v>1072.559009642205</x:v>
      </x:c>
      <x:c r="R39" s="53" t="n">
        <x:f>'Hypothèses'!$B$23</x:f>
        <x:v>400</x:v>
      </x:c>
      <x:c r="S39" s="53" t="n">
        <x:f>'Hypothèses'!$B$19</x:f>
        <x:v>200</x:v>
      </x:c>
      <x:c r="T39" s="53" t="n">
        <x:f>'Hypothèses'!$B$20</x:f>
        <x:v>100</x:v>
      </x:c>
      <x:c r="U39" s="53" t="n">
        <x:f>'Hypothèses'!$C$45</x:f>
        <x:v>3000</x:v>
      </x:c>
      <x:c r="V39" s="53" t="n">
        <x:f>N39-SUM(O39:T39)-Z39</x:f>
        <x:v>5039.938840790095</x:v>
      </x:c>
      <x:c r="W39" s="53" t="n">
        <x:f>SUM(O39:U39)+Z39</x:f>
        <x:v>5110.454556824605</x:v>
      </x:c>
      <x:c r="X39" s="53" t="n">
        <x:f>N39-W39</x:f>
        <x:v>2039.9388407900951</x:v>
      </x:c>
      <x:c r="Y39" s="53" t="n">
        <x:f>Y38+X39</x:f>
        <x:v>10734.386628090397</x:v>
      </x:c>
      <x:c r="Z39" t="n">
        <x:f>IF(M39&gt;='Hypothèses'!$B$31*'Hypothèses'!$B$30,M39*'Hypothèses'!$B$32,0)</x:f>
        <x:v>100.94673031926635</x:v>
      </x:c>
    </x:row>
  </x:sheetData>
  <x:mergeCells>
    <x:mergeCell ref="A1:Y1"/>
  </x:mergeCells>
  <x:conditionalFormatting sqref="X4:X39">
    <x:cfRule type="cellIs" dxfId="2" priority="1" operator="lessThan">
      <x:formula>0</x:formula>
    </x:cfRule>
  </x:conditionalFormatting>
  <x:conditionalFormatting sqref="Y4:Y39">
    <x:cfRule type="cellIs" dxfId="3" priority="2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1" hidden="0" customWidth="1"/>
    <x:col min="3" max="3" width="14" hidden="0" customWidth="1"/>
    <x:col min="4" max="4" width="17" hidden="0" customWidth="1"/>
    <x:col min="5" max="5" width="12" hidden="0" customWidth="1"/>
    <x:col min="6" max="6" width="12" hidden="0" customWidth="1"/>
    <x:col min="7" max="7" width="14" hidden="0" customWidth="1"/>
    <x:col min="8" max="8" width="17" hidden="0" customWidth="1"/>
    <x:col min="9" max="9" width="18" hidden="0" customWidth="1"/>
    <x:col min="10" max="10" width="17" hidden="0" customWidth="1"/>
    <x:col min="11" max="11" width="18" hidden="0" customWidth="1"/>
    <x:col min="12" max="12" width="13" hidden="0" customWidth="1"/>
    <x:col min="13" max="13" width="14" hidden="0" customWidth="1"/>
    <x:col min="14" max="14" width="18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4" hidden="0" customWidth="1"/>
    <x:col min="20" max="20" width="11" hidden="0" customWidth="1"/>
    <x:col min="21" max="21" width="13" hidden="0" customWidth="1"/>
    <x:col min="22" max="22" width="19" hidden="0" customWidth="1"/>
    <x:col min="23" max="23" width="13" hidden="0" customWidth="1"/>
    <x:col min="24" max="24" width="16" hidden="0" customWidth="1"/>
    <x:col min="25" max="25" width="16" hidden="0" customWidth="1"/>
  </x:cols>
  <x:sheetData>
    <x:row r="1">
      <x:c r="A1" s="3" t="str">
        <x:v>WHERIS — Prévisionnel 36 mois — Scénario Ambitieux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3">
      <x:c r="A3" s="34" t="str">
        <x:v>Mois</x:v>
      </x:c>
      <x:c r="B3" s="34" t="str">
        <x:v>Date</x:v>
      </x:c>
      <x:c r="C3" s="34" t="str">
        <x:v>Installations totales</x:v>
      </x:c>
      <x:c r="D3" s="34" t="str">
        <x:v>Installations cumulées</x:v>
      </x:c>
      <x:c r="E3" s="34" t="str">
        <x:v>MAU estimés</x:v>
      </x:c>
      <x:c r="F3" s="34" t="str">
        <x:v>Achats Plus</x:v>
      </x:c>
      <x:c r="G3" s="34" t="str">
        <x:v>Base Plus cumulée</x:v>
      </x:c>
      <x:c r="H3" s="34" t="str">
        <x:v>Premium direct — nouveaux</x:v>
      </x:c>
      <x:c r="I3" s="34" t="str">
        <x:v>Upgrade Plus→Premium</x:v>
      </x:c>
      <x:c r="J3" s="34" t="str">
        <x:v>Renouv. Premium direct</x:v>
      </x:c>
      <x:c r="K3" s="34" t="str">
        <x:v>Renouv. Premium upgrade</x:v>
      </x:c>
      <x:c r="L3" s="34" t="str">
        <x:v>Premium actifs</x:v>
      </x:c>
      <x:c r="M3" s="34" t="str">
        <x:v>CA brut TTC</x:v>
      </x:c>
      <x:c r="N3" s="34" t="str">
        <x:v>Revenu net HT après store</x:v>
      </x:c>
      <x:c r="O3" s="34" t="str">
        <x:v>Mapbox</x:v>
      </x:c>
      <x:c r="P3" s="34" t="str">
        <x:v>Cloud</x:v>
      </x:c>
      <x:c r="Q3" s="34" t="str">
        <x:v>Marketing</x:v>
      </x:c>
      <x:c r="R3" s="34" t="str">
        <x:v>Outils</x:v>
      </x:c>
      <x:c r="S3" s="34" t="str">
        <x:v>Compta / juridique</x:v>
      </x:c>
      <x:c r="T3" s="34" t="str">
        <x:v>Autres frais</x:v>
      </x:c>
      <x:c r="U3" s="34" t="str">
        <x:v>Coût fondateur</x:v>
      </x:c>
      <x:c r="V3" s="34" t="str">
        <x:v>Contribution produit avant fondateur</x:v>
      </x:c>
      <x:c r="W3" s="34" t="str">
        <x:v>OPEX total</x:v>
      </x:c>
      <x:c r="X3" s="34" t="str">
        <x:v>Résultat opérationnel</x:v>
      </x:c>
      <x:c r="Y3" s="34" t="str">
        <x:v>Trésorerie cumulée</x:v>
      </x:c>
      <x:c r="Z3" t="str">
        <x:v>RevenueCat</x:v>
      </x:c>
    </x:row>
    <x:row r="4">
      <x:c r="A4" s="50" t="n">
        <x:v>1</x:v>
      </x:c>
      <x:c r="B4" s="51" t="n">
        <x:v>46388</x:v>
      </x:c>
      <x:c r="C4" s="113" t="n">
        <x:f>'Acquisition'!$P$4</x:f>
        <x:v>3000</x:v>
      </x:c>
      <x:c r="D4" s="52" t="n">
        <x:f>SUM($C$4:C4)</x:f>
        <x:v>3000</x:v>
      </x:c>
      <x:c r="E4" s="52" t="n">
        <x:f>C4*'Cohortes MAU'!$D$4</x:f>
        <x:v>600</x:v>
      </x:c>
      <x:c r="F4" s="52" t="n">
        <x:v>0</x:v>
      </x:c>
      <x:c r="G4" s="52" t="n">
        <x:f>SUM($F$4:F4)</x:f>
        <x:v>0</x:v>
      </x:c>
      <x:c r="H4" s="52" t="n">
        <x:v>0</x:v>
      </x:c>
      <x:c r="I4" s="52" t="n">
        <x:v>0</x:v>
      </x:c>
      <x:c r="J4" s="52" t="n">
        <x:v>0</x:v>
      </x:c>
      <x:c r="K4" s="52" t="n">
        <x:v>0</x:v>
      </x:c>
      <x:c r="L4" s="52" t="n">
        <x:f>SUM(H4:K4)</x:f>
        <x:v>0</x:v>
      </x:c>
      <x:c r="M4" s="53" t="n">
        <x:f>F4*'Hypothèses'!$B$6+H4*'Hypothèses'!$B$7+I4*'Hypothèses'!$B$8+J4*'Hypothèses'!$B$7+K4*'Hypothèses'!$B$8</x:f>
        <x:v>0</x:v>
      </x:c>
      <x:c r="N4" s="53" t="n">
        <x:f>M4/(1+'Hypothèses'!$B$9)*(1-'Hypothèses'!$B$10)</x:f>
        <x:v>0</x:v>
      </x:c>
      <x:c r="O4" s="53" t="n">
        <x:f>(MAX(MIN(E4-'Hypothèses'!$B$24,'Hypothèses'!$B$25-'Hypothèses'!$B$24),0)/1000*'Hypothèses'!$B$26+MAX(MIN(E4-'Hypothèses'!$B$25,'Hypothèses'!$B$27-'Hypothèses'!$B$25),0)/1000*'Hypothèses'!$B$28+MAX(E4-'Hypothèses'!$B$27,0)/1000*'Hypothèses'!$B$29)*'Hypothèses'!$B$30</x:f>
        <x:v>0</x:v>
      </x:c>
      <x:c r="P4" s="53" t="n">
        <x:f>IF(A4&gt;='Hypothèses'!$B$12,'Hypothèses'!$B$15,0)+L4*'Hypothèses'!$B$16</x:f>
        <x:v>0</x:v>
      </x:c>
      <x:c r="Q4" s="53" t="n">
        <x:f>MAX(N4*'Hypothèses'!$B$17,'Hypothèses'!$B$18)+'Acquisition'!$M$4</x:f>
        <x:v>300</x:v>
      </x:c>
      <x:c r="R4" s="53" t="n">
        <x:f>'Hypothèses'!$B$21</x:f>
        <x:v>150</x:v>
      </x:c>
      <x:c r="S4" s="53" t="n">
        <x:f>'Hypothèses'!$B$19</x:f>
        <x:v>200</x:v>
      </x:c>
      <x:c r="T4" s="53" t="n">
        <x:f>'Hypothèses'!$B$20</x:f>
        <x:v>100</x:v>
      </x:c>
      <x:c r="U4" s="53" t="n">
        <x:f>'Hypothèses'!$D$43</x:f>
        <x:v>0</x:v>
      </x:c>
      <x:c r="V4" s="53" t="n">
        <x:f>N4-SUM(O4:T4)-Z4</x:f>
        <x:v>-750</x:v>
      </x:c>
      <x:c r="W4" s="53" t="n">
        <x:f>SUM(O4:U4)+Z4</x:f>
        <x:v>750</x:v>
      </x:c>
      <x:c r="X4" s="53" t="n">
        <x:f>N4-W4</x:f>
        <x:v>-750</x:v>
      </x:c>
      <x:c r="Y4" s="53" t="n">
        <x:f>X4</x:f>
        <x:v>-750</x:v>
      </x:c>
      <x:c r="Z4" t="n">
        <x:f>IF(M4&gt;='Hypothèses'!$B$31*'Hypothèses'!$B$30,M4*'Hypothèses'!$B$32,0)</x:f>
        <x:v>0</x:v>
      </x:c>
    </x:row>
    <x:row r="5">
      <x:c r="A5" s="50" t="n">
        <x:v>2</x:v>
      </x:c>
      <x:c r="B5" s="51" t="n">
        <x:v>46419</x:v>
      </x:c>
      <x:c r="C5" s="113" t="n">
        <x:f>'Acquisition'!$P$5</x:f>
        <x:v>3300.0000000000005</x:v>
      </x:c>
      <x:c r="D5" s="52" t="n">
        <x:f>SUM($C$4:C5)</x:f>
        <x:v>6300</x:v>
      </x:c>
      <x:c r="E5" s="52" t="n">
        <x:f>C4*'Cohortes MAU'!$D$5+C5*'Cohortes MAU'!$D$4</x:f>
        <x:v>1260</x:v>
      </x:c>
      <x:c r="F5" s="52" t="n">
        <x:v>0</x:v>
      </x:c>
      <x:c r="G5" s="52" t="n">
        <x:f>SUM($F$4:F5)</x:f>
        <x:v>0</x:v>
      </x:c>
      <x:c r="H5" s="52" t="n">
        <x:v>0</x:v>
      </x:c>
      <x:c r="I5" s="52" t="n">
        <x:v>0</x:v>
      </x:c>
      <x:c r="J5" s="52" t="n">
        <x:v>0</x:v>
      </x:c>
      <x:c r="K5" s="52" t="n">
        <x:v>0</x:v>
      </x:c>
      <x:c r="L5" s="52" t="n">
        <x:f>SUM(H4:K5)</x:f>
        <x:v>0</x:v>
      </x:c>
      <x:c r="M5" s="53" t="n">
        <x:f>F5*'Hypothèses'!$B$6+H5*'Hypothèses'!$B$7+I5*'Hypothèses'!$B$8+J5*'Hypothèses'!$B$7+K5*'Hypothèses'!$B$8</x:f>
        <x:v>0</x:v>
      </x:c>
      <x:c r="N5" s="53" t="n">
        <x:f>M5/(1+'Hypothèses'!$B$9)*(1-'Hypothèses'!$B$10)</x:f>
        <x:v>0</x:v>
      </x:c>
      <x:c r="O5" s="53" t="n">
        <x:f>(MAX(MIN(E5-'Hypothèses'!$B$24,'Hypothèses'!$B$25-'Hypothèses'!$B$24),0)/1000*'Hypothèses'!$B$26+MAX(MIN(E5-'Hypothèses'!$B$25,'Hypothèses'!$B$27-'Hypothèses'!$B$25),0)/1000*'Hypothèses'!$B$28+MAX(E5-'Hypothèses'!$B$27,0)/1000*'Hypothèses'!$B$29)*'Hypothèses'!$B$30</x:f>
        <x:v>0</x:v>
      </x:c>
      <x:c r="P5" s="53" t="n">
        <x:f>IF(A5&gt;='Hypothèses'!$B$12,'Hypothèses'!$B$15,0)+L5*'Hypothèses'!$B$16</x:f>
        <x:v>0</x:v>
      </x:c>
      <x:c r="Q5" s="53" t="n">
        <x:f>MAX(N5*'Hypothèses'!$B$17,'Hypothèses'!$B$18)+'Acquisition'!$M$5</x:f>
        <x:v>300</x:v>
      </x:c>
      <x:c r="R5" s="53" t="n">
        <x:f>'Hypothèses'!$B$21</x:f>
        <x:v>150</x:v>
      </x:c>
      <x:c r="S5" s="53" t="n">
        <x:f>'Hypothèses'!$B$19</x:f>
        <x:v>200</x:v>
      </x:c>
      <x:c r="T5" s="53" t="n">
        <x:f>'Hypothèses'!$B$20</x:f>
        <x:v>100</x:v>
      </x:c>
      <x:c r="U5" s="53" t="n">
        <x:f>'Hypothèses'!$D$43</x:f>
        <x:v>0</x:v>
      </x:c>
      <x:c r="V5" s="53" t="n">
        <x:f>N5-SUM(O5:T5)-Z5</x:f>
        <x:v>-750</x:v>
      </x:c>
      <x:c r="W5" s="53" t="n">
        <x:f>SUM(O5:U5)+Z5</x:f>
        <x:v>750</x:v>
      </x:c>
      <x:c r="X5" s="53" t="n">
        <x:f>N5-W5</x:f>
        <x:v>-750</x:v>
      </x:c>
      <x:c r="Y5" s="53" t="n">
        <x:f>Y4+X5</x:f>
        <x:v>-1500</x:v>
      </x:c>
      <x:c r="Z5" t="n">
        <x:f>IF(M5&gt;='Hypothèses'!$B$31*'Hypothèses'!$B$30,M5*'Hypothèses'!$B$32,0)</x:f>
        <x:v>0</x:v>
      </x:c>
    </x:row>
    <x:row r="6">
      <x:c r="A6" s="50" t="n">
        <x:v>3</x:v>
      </x:c>
      <x:c r="B6" s="51" t="n">
        <x:v>46447</x:v>
      </x:c>
      <x:c r="C6" s="113" t="n">
        <x:f>'Acquisition'!$P$6</x:f>
        <x:v>3630.000000000001</x:v>
      </x:c>
      <x:c r="D6" s="52" t="n">
        <x:f>SUM($C$4:C6)</x:f>
        <x:v>9930</x:v>
      </x:c>
      <x:c r="E6" s="52" t="n">
        <x:f>C4*'Cohortes MAU'!$D$6+C5*'Cohortes MAU'!$D$5+C6*'Cohortes MAU'!$D$4</x:f>
        <x:v>1986.0000000000002</x:v>
      </x:c>
      <x:c r="F6" s="52" t="n">
        <x:f>C4*'Hypothèses'!$D$39</x:f>
        <x:v>120</x:v>
      </x:c>
      <x:c r="G6" s="52" t="n">
        <x:f>SUM($F$4:F6)</x:f>
        <x:v>120</x:v>
      </x:c>
      <x:c r="H6" s="52" t="n">
        <x:v>0</x:v>
      </x:c>
      <x:c r="I6" s="52" t="n">
        <x:v>0</x:v>
      </x:c>
      <x:c r="J6" s="52" t="n">
        <x:v>0</x:v>
      </x:c>
      <x:c r="K6" s="52" t="n">
        <x:v>0</x:v>
      </x:c>
      <x:c r="L6" s="52" t="n">
        <x:f>SUM(H4:K6)</x:f>
        <x:v>0</x:v>
      </x:c>
      <x:c r="M6" s="53" t="n">
        <x:f>F6*'Hypothèses'!$B$6+H6*'Hypothèses'!$B$7+I6*'Hypothèses'!$B$8+J6*'Hypothèses'!$B$7+K6*'Hypothèses'!$B$8</x:f>
        <x:v>2398.7999999999997</x:v>
      </x:c>
      <x:c r="N6" s="53" t="n">
        <x:f>M6/(1+'Hypothèses'!$B$9)*(1-'Hypothèses'!$B$10)</x:f>
        <x:v>1699.1499999999999</x:v>
      </x:c>
      <x:c r="O6" s="53" t="n">
        <x:f>(MAX(MIN(E6-'Hypothèses'!$B$24,'Hypothèses'!$B$25-'Hypothèses'!$B$24),0)/1000*'Hypothèses'!$B$26+MAX(MIN(E6-'Hypothèses'!$B$25,'Hypothèses'!$B$27-'Hypothèses'!$B$25),0)/1000*'Hypothèses'!$B$28+MAX(E6-'Hypothèses'!$B$27,0)/1000*'Hypothèses'!$B$29)*'Hypothèses'!$B$30</x:f>
        <x:v>0</x:v>
      </x:c>
      <x:c r="P6" s="53" t="n">
        <x:f>IF(A6&gt;='Hypothèses'!$B$12,'Hypothèses'!$B$15,0)+L6*'Hypothèses'!$B$16</x:f>
        <x:v>0</x:v>
      </x:c>
      <x:c r="Q6" s="53" t="n">
        <x:f>MAX(N6*'Hypothèses'!$B$17,'Hypothèses'!$B$18)+'Acquisition'!$M$6</x:f>
        <x:v>300</x:v>
      </x:c>
      <x:c r="R6" s="53" t="n">
        <x:f>'Hypothèses'!$B$21</x:f>
        <x:v>150</x:v>
      </x:c>
      <x:c r="S6" s="53" t="n">
        <x:f>'Hypothèses'!$B$19</x:f>
        <x:v>200</x:v>
      </x:c>
      <x:c r="T6" s="53" t="n">
        <x:f>'Hypothèses'!$B$20</x:f>
        <x:v>100</x:v>
      </x:c>
      <x:c r="U6" s="53" t="n">
        <x:f>'Hypothèses'!$D$43</x:f>
        <x:v>0</x:v>
      </x:c>
      <x:c r="V6" s="53" t="n">
        <x:f>N6-SUM(O6:T6)-Z6</x:f>
        <x:v>949.1499999999999</x:v>
      </x:c>
      <x:c r="W6" s="53" t="n">
        <x:f>SUM(O6:U6)+Z6</x:f>
        <x:v>750</x:v>
      </x:c>
      <x:c r="X6" s="53" t="n">
        <x:f>N6-W6</x:f>
        <x:v>949.1499999999999</x:v>
      </x:c>
      <x:c r="Y6" s="53" t="n">
        <x:f>Y5+X6</x:f>
        <x:v>-550.8500000000001</x:v>
      </x:c>
      <x:c r="Z6" t="n">
        <x:f>IF(M6&gt;='Hypothèses'!$B$31*'Hypothèses'!$B$30,M6*'Hypothèses'!$B$32,0)</x:f>
        <x:v>0</x:v>
      </x:c>
    </x:row>
    <x:row r="7">
      <x:c r="A7" s="50" t="n">
        <x:v>4</x:v>
      </x:c>
      <x:c r="B7" s="51" t="n">
        <x:v>46478</x:v>
      </x:c>
      <x:c r="C7" s="113" t="n">
        <x:f>'Acquisition'!$P$7</x:f>
        <x:v>3993.0000000000014</x:v>
      </x:c>
      <x:c r="D7" s="52" t="n">
        <x:f>SUM($C$4:C7)</x:f>
        <x:v>13923.000000000002</x:v>
      </x:c>
      <x:c r="E7" s="52" t="n">
        <x:f>C4*'Cohortes MAU'!$D$7+C5*'Cohortes MAU'!$D$6+C6*'Cohortes MAU'!$D$5+C7*'Cohortes MAU'!$D$4</x:f>
        <x:v>2784.6000000000004</x:v>
      </x:c>
      <x:c r="F7" s="52" t="n">
        <x:f>C5*'Hypothèses'!$D$39</x:f>
        <x:v>132.00000000000003</x:v>
      </x:c>
      <x:c r="G7" s="52" t="n">
        <x:f>SUM($F$4:F7)</x:f>
        <x:v>252.00000000000003</x:v>
      </x:c>
      <x:c r="H7" s="52" t="n">
        <x:v>0</x:v>
      </x:c>
      <x:c r="I7" s="52" t="n">
        <x:v>0</x:v>
      </x:c>
      <x:c r="J7" s="52" t="n">
        <x:v>0</x:v>
      </x:c>
      <x:c r="K7" s="52" t="n">
        <x:v>0</x:v>
      </x:c>
      <x:c r="L7" s="52" t="n">
        <x:f>SUM(H4:K7)</x:f>
        <x:v>0</x:v>
      </x:c>
      <x:c r="M7" s="53" t="n">
        <x:f>F7*'Hypothèses'!$B$6+H7*'Hypothèses'!$B$7+I7*'Hypothèses'!$B$8+J7*'Hypothèses'!$B$7+K7*'Hypothèses'!$B$8</x:f>
        <x:v>2638.6800000000003</x:v>
      </x:c>
      <x:c r="N7" s="53" t="n">
        <x:f>M7/(1+'Hypothèses'!$B$9)*(1-'Hypothèses'!$B$10)</x:f>
        <x:v>1869.0650000000005</x:v>
      </x:c>
      <x:c r="O7" s="53" t="n">
        <x:f>(MAX(MIN(E7-'Hypothèses'!$B$24,'Hypothèses'!$B$25-'Hypothèses'!$B$24),0)/1000*'Hypothèses'!$B$26+MAX(MIN(E7-'Hypothèses'!$B$25,'Hypothèses'!$B$27-'Hypothèses'!$B$25),0)/1000*'Hypothèses'!$B$28+MAX(E7-'Hypothèses'!$B$27,0)/1000*'Hypothèses'!$B$29)*'Hypothèses'!$B$30</x:f>
        <x:v>0</x:v>
      </x:c>
      <x:c r="P7" s="53" t="n">
        <x:f>IF(A7&gt;='Hypothèses'!$B$12,'Hypothèses'!$B$15,0)+L7*'Hypothèses'!$B$16</x:f>
        <x:v>0</x:v>
      </x:c>
      <x:c r="Q7" s="53" t="n">
        <x:f>MAX(N7*'Hypothèses'!$B$17,'Hypothèses'!$B$18)+'Acquisition'!$M$7</x:f>
        <x:v>300</x:v>
      </x:c>
      <x:c r="R7" s="53" t="n">
        <x:f>'Hypothèses'!$B$21</x:f>
        <x:v>150</x:v>
      </x:c>
      <x:c r="S7" s="53" t="n">
        <x:f>'Hypothèses'!$B$19</x:f>
        <x:v>200</x:v>
      </x:c>
      <x:c r="T7" s="53" t="n">
        <x:f>'Hypothèses'!$B$20</x:f>
        <x:v>100</x:v>
      </x:c>
      <x:c r="U7" s="53" t="n">
        <x:f>'Hypothèses'!$D$43</x:f>
        <x:v>0</x:v>
      </x:c>
      <x:c r="V7" s="53" t="n">
        <x:f>N7-SUM(O7:T7)-Z7</x:f>
        <x:v>1092.6782000000005</x:v>
      </x:c>
      <x:c r="W7" s="53" t="n">
        <x:f>SUM(O7:U7)+Z7</x:f>
        <x:v>776.3868</x:v>
      </x:c>
      <x:c r="X7" s="53" t="n">
        <x:f>N7-W7</x:f>
        <x:v>1092.6782000000005</x:v>
      </x:c>
      <x:c r="Y7" s="53" t="n">
        <x:f>Y6+X7</x:f>
        <x:v>541.8282000000004</x:v>
      </x:c>
      <x:c r="Z7" t="n">
        <x:f>IF(M7&gt;='Hypothèses'!$B$31*'Hypothèses'!$B$30,M7*'Hypothèses'!$B$32,0)</x:f>
        <x:v>26.386800000000004</x:v>
      </x:c>
    </x:row>
    <x:row r="8">
      <x:c r="A8" s="50" t="n">
        <x:v>5</x:v>
      </x:c>
      <x:c r="B8" s="51" t="n">
        <x:v>46508</x:v>
      </x:c>
      <x:c r="C8" s="113" t="n">
        <x:f>'Acquisition'!$P$8</x:f>
        <x:v>4392.300000000002</x:v>
      </x:c>
      <x:c r="D8" s="52" t="n">
        <x:f>SUM($C$4:C8)</x:f>
        <x:v>18315.300000000003</x:v>
      </x:c>
      <x:c r="E8" s="52" t="n">
        <x:f>C4*'Cohortes MAU'!$D$8+C5*'Cohortes MAU'!$D$7+C6*'Cohortes MAU'!$D$6+C7*'Cohortes MAU'!$D$5+C8*'Cohortes MAU'!$D$4</x:f>
        <x:v>3663.060000000001</x:v>
      </x:c>
      <x:c r="F8" s="52" t="n">
        <x:f>C6*'Hypothèses'!$D$39</x:f>
        <x:v>145.20000000000005</x:v>
      </x:c>
      <x:c r="G8" s="52" t="n">
        <x:f>SUM($F$4:F8)</x:f>
        <x:v>397.20000000000005</x:v>
      </x:c>
      <x:c r="H8" s="52" t="n">
        <x:v>0</x:v>
      </x:c>
      <x:c r="I8" s="52" t="n">
        <x:v>0</x:v>
      </x:c>
      <x:c r="J8" s="52" t="n">
        <x:v>0</x:v>
      </x:c>
      <x:c r="K8" s="52" t="n">
        <x:v>0</x:v>
      </x:c>
      <x:c r="L8" s="52" t="n">
        <x:f>SUM(H4:K8)</x:f>
        <x:v>0</x:v>
      </x:c>
      <x:c r="M8" s="53" t="n">
        <x:f>F8*'Hypothèses'!$B$6+H8*'Hypothèses'!$B$7+I8*'Hypothèses'!$B$8+J8*'Hypothèses'!$B$7+K8*'Hypothèses'!$B$8</x:f>
        <x:v>2902.5480000000007</x:v>
      </x:c>
      <x:c r="N8" s="53" t="n">
        <x:f>M8/(1+'Hypothèses'!$B$9)*(1-'Hypothèses'!$B$10)</x:f>
        <x:v>2055.9715000000006</x:v>
      </x:c>
      <x:c r="O8" s="53" t="n">
        <x:f>(MAX(MIN(E8-'Hypothèses'!$B$24,'Hypothèses'!$B$25-'Hypothèses'!$B$24),0)/1000*'Hypothèses'!$B$26+MAX(MIN(E8-'Hypothèses'!$B$25,'Hypothèses'!$B$27-'Hypothèses'!$B$25),0)/1000*'Hypothèses'!$B$28+MAX(E8-'Hypothèses'!$B$27,0)/1000*'Hypothèses'!$B$29)*'Hypothèses'!$B$30</x:f>
        <x:v>0</x:v>
      </x:c>
      <x:c r="P8" s="53" t="n">
        <x:f>IF(A8&gt;='Hypothèses'!$B$12,'Hypothèses'!$B$15,0)+L8*'Hypothèses'!$B$16</x:f>
        <x:v>0</x:v>
      </x:c>
      <x:c r="Q8" s="53" t="n">
        <x:f>MAX(N8*'Hypothèses'!$B$17,'Hypothèses'!$B$18)+'Acquisition'!$M$8</x:f>
        <x:v>308.3957250000001</x:v>
      </x:c>
      <x:c r="R8" s="53" t="n">
        <x:f>'Hypothèses'!$B$21</x:f>
        <x:v>150</x:v>
      </x:c>
      <x:c r="S8" s="53" t="n">
        <x:f>'Hypothèses'!$B$19</x:f>
        <x:v>200</x:v>
      </x:c>
      <x:c r="T8" s="53" t="n">
        <x:f>'Hypothèses'!$B$20</x:f>
        <x:v>100</x:v>
      </x:c>
      <x:c r="U8" s="53" t="n">
        <x:f>'Hypothèses'!$D$43</x:f>
        <x:v>0</x:v>
      </x:c>
      <x:c r="V8" s="53" t="n">
        <x:f>N8-SUM(O8:T8)-Z8</x:f>
        <x:v>1268.5502950000005</x:v>
      </x:c>
      <x:c r="W8" s="53" t="n">
        <x:f>SUM(O8:U8)+Z8</x:f>
        <x:v>787.4212050000001</x:v>
      </x:c>
      <x:c r="X8" s="53" t="n">
        <x:f>N8-W8</x:f>
        <x:v>1268.5502950000005</x:v>
      </x:c>
      <x:c r="Y8" s="53" t="n">
        <x:f>Y7+X8</x:f>
        <x:v>1810.3784950000008</x:v>
      </x:c>
      <x:c r="Z8" t="n">
        <x:f>IF(M8&gt;='Hypothèses'!$B$31*'Hypothèses'!$B$30,M8*'Hypothèses'!$B$32,0)</x:f>
        <x:v>29.02548000000001</x:v>
      </x:c>
    </x:row>
    <x:row r="9">
      <x:c r="A9" s="50" t="n">
        <x:v>6</x:v>
      </x:c>
      <x:c r="B9" s="51" t="n">
        <x:v>46539</x:v>
      </x:c>
      <x:c r="C9" s="113" t="n">
        <x:f>'Acquisition'!$P$9</x:f>
        <x:v>4831.5300000000025</x:v>
      </x:c>
      <x:c r="D9" s="52" t="n">
        <x:f>SUM($C$4:C9)</x:f>
        <x:v>23146.830000000005</x:v>
      </x:c>
      <x:c r="E9" s="52" t="n">
        <x:f>C4*'Cohortes MAU'!$D$9+C5*'Cohortes MAU'!$D$8+C6*'Cohortes MAU'!$D$7+C7*'Cohortes MAU'!$D$6+C8*'Cohortes MAU'!$D$5+C9*'Cohortes MAU'!$D$4</x:f>
        <x:v>4629.366000000002</x:v>
      </x:c>
      <x:c r="F9" s="52" t="n">
        <x:f>C7*'Hypothèses'!$D$39</x:f>
        <x:v>159.72000000000006</x:v>
      </x:c>
      <x:c r="G9" s="52" t="n">
        <x:f>SUM($F$4:F9)</x:f>
        <x:v>556.9200000000001</x:v>
      </x:c>
      <x:c r="H9" s="52" t="n">
        <x:v>0</x:v>
      </x:c>
      <x:c r="I9" s="52" t="n">
        <x:v>0</x:v>
      </x:c>
      <x:c r="J9" s="52" t="n">
        <x:v>0</x:v>
      </x:c>
      <x:c r="K9" s="52" t="n">
        <x:v>0</x:v>
      </x:c>
      <x:c r="L9" s="52" t="n">
        <x:f>SUM(H4:K9)</x:f>
        <x:v>0</x:v>
      </x:c>
      <x:c r="M9" s="53" t="n">
        <x:f>F9*'Hypothèses'!$B$6+H9*'Hypothèses'!$B$7+I9*'Hypothèses'!$B$8+J9*'Hypothèses'!$B$7+K9*'Hypothèses'!$B$8</x:f>
        <x:v>3192.802800000001</x:v>
      </x:c>
      <x:c r="N9" s="53" t="n">
        <x:f>M9/(1+'Hypothèses'!$B$9)*(1-'Hypothèses'!$B$10)</x:f>
        <x:v>2261.5686500000006</x:v>
      </x:c>
      <x:c r="O9" s="53" t="n">
        <x:f>(MAX(MIN(E9-'Hypothèses'!$B$24,'Hypothèses'!$B$25-'Hypothèses'!$B$24),0)/1000*'Hypothèses'!$B$26+MAX(MIN(E9-'Hypothèses'!$B$25,'Hypothèses'!$B$27-'Hypothèses'!$B$25),0)/1000*'Hypothèses'!$B$28+MAX(E9-'Hypothèses'!$B$27,0)/1000*'Hypothèses'!$B$29)*'Hypothèses'!$B$30</x:f>
        <x:v>0</x:v>
      </x:c>
      <x:c r="P9" s="53" t="n">
        <x:f>IF(A9&gt;='Hypothèses'!$B$12,'Hypothèses'!$B$15,0)+L9*'Hypothèses'!$B$16</x:f>
        <x:v>0</x:v>
      </x:c>
      <x:c r="Q9" s="53" t="n">
        <x:f>MAX(N9*'Hypothèses'!$B$17,'Hypothèses'!$B$18)+'Acquisition'!$M$9</x:f>
        <x:v>339.23529750000006</x:v>
      </x:c>
      <x:c r="R9" s="53" t="n">
        <x:f>'Hypothèses'!$B$21</x:f>
        <x:v>150</x:v>
      </x:c>
      <x:c r="S9" s="53" t="n">
        <x:f>'Hypothèses'!$B$19</x:f>
        <x:v>200</x:v>
      </x:c>
      <x:c r="T9" s="53" t="n">
        <x:f>'Hypothèses'!$B$20</x:f>
        <x:v>100</x:v>
      </x:c>
      <x:c r="U9" s="53" t="n">
        <x:f>'Hypothèses'!$D$43</x:f>
        <x:v>0</x:v>
      </x:c>
      <x:c r="V9" s="53" t="n">
        <x:f>N9-SUM(O9:T9)-Z9</x:f>
        <x:v>1440.4053245000005</x:v>
      </x:c>
      <x:c r="W9" s="53" t="n">
        <x:f>SUM(O9:U9)+Z9</x:f>
        <x:v>821.1633255000002</x:v>
      </x:c>
      <x:c r="X9" s="53" t="n">
        <x:f>N9-W9</x:f>
        <x:v>1440.4053245000005</x:v>
      </x:c>
      <x:c r="Y9" s="53" t="n">
        <x:f>Y8+X9</x:f>
        <x:v>3250.7838195000013</x:v>
      </x:c>
      <x:c r="Z9" t="n">
        <x:f>IF(M9&gt;='Hypothèses'!$B$31*'Hypothèses'!$B$30,M9*'Hypothèses'!$B$32,0)</x:f>
        <x:v>31.92802800000001</x:v>
      </x:c>
    </x:row>
    <x:row r="10">
      <x:c r="A10" s="50" t="n">
        <x:v>7</x:v>
      </x:c>
      <x:c r="B10" s="51" t="n">
        <x:v>46569</x:v>
      </x:c>
      <x:c r="C10" s="113" t="n">
        <x:f>'Acquisition'!$P$10</x:f>
        <x:v>5314.683000000003</x:v>
      </x:c>
      <x:c r="D10" s="52" t="n">
        <x:f>SUM($C$4:C10)</x:f>
        <x:v>28461.513000000006</x:v>
      </x:c>
      <x:c r="E10" s="52" t="n">
        <x:f>C4*'Cohortes MAU'!$D$10+C5*'Cohortes MAU'!$D$9+C6*'Cohortes MAU'!$D$8+C7*'Cohortes MAU'!$D$7+C8*'Cohortes MAU'!$D$6+C9*'Cohortes MAU'!$D$5+C10*'Cohortes MAU'!$D$4</x:f>
        <x:v>5692.302600000003</x:v>
      </x:c>
      <x:c r="F10" s="52" t="n">
        <x:f>C8*'Hypothèses'!$D$39</x:f>
        <x:v>175.6920000000001</x:v>
      </x:c>
      <x:c r="G10" s="52" t="n">
        <x:f>SUM($F$4:F10)</x:f>
        <x:v>732.6120000000002</x:v>
      </x:c>
      <x:c r="H10" s="52" t="n">
        <x:v>0</x:v>
      </x:c>
      <x:c r="I10" s="52" t="n">
        <x:v>0</x:v>
      </x:c>
      <x:c r="J10" s="52" t="n">
        <x:v>0</x:v>
      </x:c>
      <x:c r="K10" s="52" t="n">
        <x:v>0</x:v>
      </x:c>
      <x:c r="L10" s="52" t="n">
        <x:f>SUM(H4:K10)</x:f>
        <x:v>0</x:v>
      </x:c>
      <x:c r="M10" s="53" t="n">
        <x:f>F10*'Hypothèses'!$B$6+H10*'Hypothèses'!$B$7+I10*'Hypothèses'!$B$8+J10*'Hypothèses'!$B$7+K10*'Hypothèses'!$B$8</x:f>
        <x:v>3512.0830800000017</x:v>
      </x:c>
      <x:c r="N10" s="53" t="n">
        <x:f>M10/(1+'Hypothèses'!$B$9)*(1-'Hypothèses'!$B$10)</x:f>
        <x:v>2487.725515000001</x:v>
      </x:c>
      <x:c r="O10" s="53" t="n">
        <x:f>(MAX(MIN(E10-'Hypothèses'!$B$24,'Hypothèses'!$B$25-'Hypothèses'!$B$24),0)/1000*'Hypothèses'!$B$26+MAX(MIN(E10-'Hypothèses'!$B$25,'Hypothèses'!$B$27-'Hypothèses'!$B$25),0)/1000*'Hypothèses'!$B$28+MAX(E10-'Hypothèses'!$B$27,0)/1000*'Hypothèses'!$B$29)*'Hypothèses'!$B$30</x:f>
        <x:v>0</x:v>
      </x:c>
      <x:c r="P10" s="53" t="n">
        <x:f>IF(A10&gt;='Hypothèses'!$B$12,'Hypothèses'!$B$15,0)+L10*'Hypothèses'!$B$16</x:f>
        <x:v>0</x:v>
      </x:c>
      <x:c r="Q10" s="53" t="n">
        <x:f>MAX(N10*'Hypothèses'!$B$17,'Hypothèses'!$B$18)+'Acquisition'!$M$10</x:f>
        <x:v>373.1588272500001</x:v>
      </x:c>
      <x:c r="R10" s="53" t="n">
        <x:f>'Hypothèses'!$B$21</x:f>
        <x:v>150</x:v>
      </x:c>
      <x:c r="S10" s="53" t="n">
        <x:f>'Hypothèses'!$B$19</x:f>
        <x:v>200</x:v>
      </x:c>
      <x:c r="T10" s="53" t="n">
        <x:f>'Hypothèses'!$B$20</x:f>
        <x:v>100</x:v>
      </x:c>
      <x:c r="U10" s="53" t="n">
        <x:f>'Hypothèses'!$D$43</x:f>
        <x:v>0</x:v>
      </x:c>
      <x:c r="V10" s="53" t="n">
        <x:f>N10-SUM(O10:T10)-Z10</x:f>
        <x:v>1629.445856950001</x:v>
      </x:c>
      <x:c r="W10" s="53" t="n">
        <x:f>SUM(O10:U10)+Z10</x:f>
        <x:v>858.2796580500001</x:v>
      </x:c>
      <x:c r="X10" s="53" t="n">
        <x:f>N10-W10</x:f>
        <x:v>1629.445856950001</x:v>
      </x:c>
      <x:c r="Y10" s="53" t="n">
        <x:f>Y9+X10</x:f>
        <x:v>4880.229676450002</x:v>
      </x:c>
      <x:c r="Z10" t="n">
        <x:f>IF(M10&gt;='Hypothèses'!$B$31*'Hypothèses'!$B$30,M10*'Hypothèses'!$B$32,0)</x:f>
        <x:v>35.120830800000014</x:v>
      </x:c>
    </x:row>
    <x:row r="11">
      <x:c r="A11" s="50" t="n">
        <x:v>8</x:v>
      </x:c>
      <x:c r="B11" s="51" t="n">
        <x:v>46600</x:v>
      </x:c>
      <x:c r="C11" s="113" t="n">
        <x:f>'Acquisition'!$P$11</x:f>
        <x:v>5846.151300000003</x:v>
      </x:c>
      <x:c r="D11" s="52" t="n">
        <x:f>SUM($C$4:C11)</x:f>
        <x:v>34307.66430000001</x:v>
      </x:c>
      <x:c r="E11" s="52" t="n">
        <x:f>C4*'Cohortes MAU'!$D$11+C5*'Cohortes MAU'!$D$10+C6*'Cohortes MAU'!$D$9+C7*'Cohortes MAU'!$D$8+C8*'Cohortes MAU'!$D$7+C9*'Cohortes MAU'!$D$6+C10*'Cohortes MAU'!$D$5+C11*'Cohortes MAU'!$D$4</x:f>
        <x:v>6861.532860000003</x:v>
      </x:c>
      <x:c r="F11" s="52" t="n">
        <x:f>C9*'Hypothèses'!$D$39</x:f>
        <x:v>193.26120000000012</x:v>
      </x:c>
      <x:c r="G11" s="52" t="n">
        <x:f>SUM($F$4:F11)</x:f>
        <x:v>925.8732000000003</x:v>
      </x:c>
      <x:c r="H11" s="52" t="n">
        <x:v>0</x:v>
      </x:c>
      <x:c r="I11" s="52" t="n">
        <x:v>0</x:v>
      </x:c>
      <x:c r="J11" s="52" t="n">
        <x:v>0</x:v>
      </x:c>
      <x:c r="K11" s="52" t="n">
        <x:v>0</x:v>
      </x:c>
      <x:c r="L11" s="52" t="n">
        <x:f>SUM(H4:K11)</x:f>
        <x:v>0</x:v>
      </x:c>
      <x:c r="M11" s="53" t="n">
        <x:f>F11*'Hypothèses'!$B$6+H11*'Hypothèses'!$B$7+I11*'Hypothèses'!$B$8+J11*'Hypothèses'!$B$7+K11*'Hypothèses'!$B$8</x:f>
        <x:v>3863.291388000002</x:v>
      </x:c>
      <x:c r="N11" s="53" t="n">
        <x:f>M11/(1+'Hypothèses'!$B$9)*(1-'Hypothèses'!$B$10)</x:f>
        <x:v>2736.4980665000016</x:v>
      </x:c>
      <x:c r="O11" s="53" t="n">
        <x:f>(MAX(MIN(E11-'Hypothèses'!$B$24,'Hypothèses'!$B$25-'Hypothèses'!$B$24),0)/1000*'Hypothèses'!$B$26+MAX(MIN(E11-'Hypothèses'!$B$25,'Hypothèses'!$B$27-'Hypothèses'!$B$25),0)/1000*'Hypothèses'!$B$28+MAX(E11-'Hypothèses'!$B$27,0)/1000*'Hypothèses'!$B$29)*'Hypothèses'!$B$30</x:f>
        <x:v>0</x:v>
      </x:c>
      <x:c r="P11" s="53" t="n">
        <x:f>IF(A11&gt;='Hypothèses'!$B$12,'Hypothèses'!$B$15,0)+L11*'Hypothèses'!$B$16</x:f>
        <x:v>0</x:v>
      </x:c>
      <x:c r="Q11" s="53" t="n">
        <x:f>MAX(N11*'Hypothèses'!$B$17,'Hypothèses'!$B$18)+'Acquisition'!$M$11</x:f>
        <x:v>410.4747099750002</x:v>
      </x:c>
      <x:c r="R11" s="53" t="n">
        <x:f>'Hypothèses'!$B$21</x:f>
        <x:v>150</x:v>
      </x:c>
      <x:c r="S11" s="53" t="n">
        <x:f>'Hypothèses'!$B$19</x:f>
        <x:v>200</x:v>
      </x:c>
      <x:c r="T11" s="53" t="n">
        <x:f>'Hypothèses'!$B$20</x:f>
        <x:v>100</x:v>
      </x:c>
      <x:c r="U11" s="53" t="n">
        <x:f>'Hypothèses'!$D$43</x:f>
        <x:v>0</x:v>
      </x:c>
      <x:c r="V11" s="53" t="n">
        <x:f>N11-SUM(O11:T11)-Z11</x:f>
        <x:v>1837.3904426450015</x:v>
      </x:c>
      <x:c r="W11" s="53" t="n">
        <x:f>SUM(O11:U11)+Z11</x:f>
        <x:v>899.1076238550003</x:v>
      </x:c>
      <x:c r="X11" s="53" t="n">
        <x:f>N11-W11</x:f>
        <x:v>1837.3904426450013</x:v>
      </x:c>
      <x:c r="Y11" s="53" t="n">
        <x:f>Y10+X11</x:f>
        <x:v>6717.620119095003</x:v>
      </x:c>
      <x:c r="Z11" t="n">
        <x:f>IF(M11&gt;='Hypothèses'!$B$31*'Hypothèses'!$B$30,M11*'Hypothèses'!$B$32,0)</x:f>
        <x:v>38.63291388000002</x:v>
      </x:c>
    </x:row>
    <x:row r="12">
      <x:c r="A12" s="50" t="n">
        <x:v>9</x:v>
      </x:c>
      <x:c r="B12" s="51" t="n">
        <x:v>46631</x:v>
      </x:c>
      <x:c r="C12" s="113" t="n">
        <x:f>'Acquisition'!$P$12</x:f>
        <x:v>6430.766430000004</x:v>
      </x:c>
      <x:c r="D12" s="52" t="n">
        <x:f>SUM($C$4:C12)</x:f>
        <x:v>40738.430730000015</x:v>
      </x:c>
      <x:c r="E12" s="52" t="n">
        <x:f>C4*'Cohortes MAU'!$D$12+C5*'Cohortes MAU'!$D$11+C6*'Cohortes MAU'!$D$10+C7*'Cohortes MAU'!$D$9+C8*'Cohortes MAU'!$D$8+C9*'Cohortes MAU'!$D$7+C10*'Cohortes MAU'!$D$6+C11*'Cohortes MAU'!$D$5+C12*'Cohortes MAU'!$D$4</x:f>
        <x:v>8147.686146000004</x:v>
      </x:c>
      <x:c r="F12" s="52" t="n">
        <x:f>C10*'Hypothèses'!$D$39</x:f>
        <x:v>212.58732000000012</x:v>
      </x:c>
      <x:c r="G12" s="52" t="n">
        <x:f>SUM($F$4:F12)</x:f>
        <x:v>1138.4605200000005</x:v>
      </x:c>
      <x:c r="H12" s="52" t="n">
        <x:v>0</x:v>
      </x:c>
      <x:c r="I12" s="52" t="n">
        <x:v>0</x:v>
      </x:c>
      <x:c r="J12" s="52" t="n">
        <x:v>0</x:v>
      </x:c>
      <x:c r="K12" s="52" t="n">
        <x:v>0</x:v>
      </x:c>
      <x:c r="L12" s="52" t="n">
        <x:f>SUM(H4:K12)</x:f>
        <x:v>0</x:v>
      </x:c>
      <x:c r="M12" s="53" t="n">
        <x:f>F12*'Hypothèses'!$B$6+H12*'Hypothèses'!$B$7+I12*'Hypothèses'!$B$8+J12*'Hypothèses'!$B$7+K12*'Hypothèses'!$B$8</x:f>
        <x:v>4249.620526800002</x:v>
      </x:c>
      <x:c r="N12" s="53" t="n">
        <x:f>M12/(1+'Hypothèses'!$B$9)*(1-'Hypothèses'!$B$10)</x:f>
        <x:v>3010.1478731500015</x:v>
      </x:c>
      <x:c r="O12" s="53" t="n">
        <x:f>(MAX(MIN(E12-'Hypothèses'!$B$24,'Hypothèses'!$B$25-'Hypothèses'!$B$24),0)/1000*'Hypothèses'!$B$26+MAX(MIN(E12-'Hypothèses'!$B$25,'Hypothèses'!$B$27-'Hypothèses'!$B$25),0)/1000*'Hypothèses'!$B$28+MAX(E12-'Hypothèses'!$B$27,0)/1000*'Hypothèses'!$B$29)*'Hypothèses'!$B$30</x:f>
        <x:v>0</x:v>
      </x:c>
      <x:c r="P12" s="53" t="n">
        <x:f>IF(A12&gt;='Hypothèses'!$B$12,'Hypothèses'!$B$15,0)+L12*'Hypothèses'!$B$16</x:f>
        <x:v>0</x:v>
      </x:c>
      <x:c r="Q12" s="53" t="n">
        <x:f>MAX(N12*'Hypothèses'!$B$17,'Hypothèses'!$B$18)+'Acquisition'!$M$12</x:f>
        <x:v>451.5221809725002</x:v>
      </x:c>
      <x:c r="R12" s="53" t="n">
        <x:f>'Hypothèses'!$B$21</x:f>
        <x:v>150</x:v>
      </x:c>
      <x:c r="S12" s="53" t="n">
        <x:f>'Hypothèses'!$B$19</x:f>
        <x:v>200</x:v>
      </x:c>
      <x:c r="T12" s="53" t="n">
        <x:f>'Hypothèses'!$B$20</x:f>
        <x:v>100</x:v>
      </x:c>
      <x:c r="U12" s="53" t="n">
        <x:f>'Hypothèses'!$D$43</x:f>
        <x:v>0</x:v>
      </x:c>
      <x:c r="V12" s="53" t="n">
        <x:f>N12-SUM(O12:T12)-Z12</x:f>
        <x:v>2066.1294869095013</x:v>
      </x:c>
      <x:c r="W12" s="53" t="n">
        <x:f>SUM(O12:U12)+Z12</x:f>
        <x:v>944.0183862405003</x:v>
      </x:c>
      <x:c r="X12" s="53" t="n">
        <x:f>N12-W12</x:f>
        <x:v>2066.1294869095013</x:v>
      </x:c>
      <x:c r="Y12" s="53" t="n">
        <x:f>Y11+X12</x:f>
        <x:v>8783.749606004505</x:v>
      </x:c>
      <x:c r="Z12" t="n">
        <x:f>IF(M12&gt;='Hypothèses'!$B$31*'Hypothèses'!$B$30,M12*'Hypothèses'!$B$32,0)</x:f>
        <x:v>42.496205268000026</x:v>
      </x:c>
    </x:row>
    <x:row r="13">
      <x:c r="A13" s="50" t="n">
        <x:v>10</x:v>
      </x:c>
      <x:c r="B13" s="51" t="n">
        <x:v>46661</x:v>
      </x:c>
      <x:c r="C13" s="113" t="n">
        <x:f>'Acquisition'!$P$13</x:f>
        <x:v>7073.8430730000055</x:v>
      </x:c>
      <x:c r="D13" s="52" t="n">
        <x:f>SUM($C$4:C13)</x:f>
        <x:v>47812.27380300002</x:v>
      </x:c>
      <x:c r="E13" s="52" t="n">
        <x:f>C4*'Cohortes MAU'!$D$13+C5*'Cohortes MAU'!$D$12+C6*'Cohortes MAU'!$D$11+C7*'Cohortes MAU'!$D$10+C8*'Cohortes MAU'!$D$9+C9*'Cohortes MAU'!$D$8+C10*'Cohortes MAU'!$D$7+C11*'Cohortes MAU'!$D$6+C12*'Cohortes MAU'!$D$5+C13*'Cohortes MAU'!$D$4</x:f>
        <x:v>9562.454760600005</x:v>
      </x:c>
      <x:c r="F13" s="52" t="n">
        <x:f>C11*'Hypothèses'!$D$39</x:f>
        <x:v>233.84605200000013</x:v>
      </x:c>
      <x:c r="G13" s="52" t="n">
        <x:f>SUM($F$4:F13)</x:f>
        <x:v>1372.3065720000006</x:v>
      </x:c>
      <x:c r="H13" s="52" t="n">
        <x:f>C10*'Hypothèses'!$D$40</x:f>
        <x:v>53.14683000000003</x:v>
      </x:c>
      <x:c r="I13" s="52" t="n">
        <x:f>G12*('Hypothèses'!$D$41/12)</x:f>
        <x:v>3.794868400000002</x:v>
      </x:c>
      <x:c r="J13" s="52" t="n">
        <x:v>0</x:v>
      </x:c>
      <x:c r="K13" s="52" t="n">
        <x:v>0</x:v>
      </x:c>
      <x:c r="L13" s="52" t="n">
        <x:f>SUM(H4:K13)</x:f>
        <x:v>56.941698400000035</x:v>
      </x:c>
      <x:c r="M13" s="53" t="n">
        <x:f>F13*'Hypothèses'!$B$6+H13*'Hypothèses'!$B$7+I13*'Hypothèses'!$B$8+J13*'Hypothèses'!$B$7+K13*'Hypothèses'!$B$8</x:f>
        <x:v>6344.315430496003</x:v>
      </x:c>
      <x:c r="N13" s="53" t="n">
        <x:f>M13/(1+'Hypothèses'!$B$9)*(1-'Hypothèses'!$B$10)</x:f>
        <x:v>4493.890096601335</x:v>
      </x:c>
      <x:c r="O13" s="53" t="n">
        <x:f>(MAX(MIN(E13-'Hypothèses'!$B$24,'Hypothèses'!$B$25-'Hypothèses'!$B$24),0)/1000*'Hypothèses'!$B$26+MAX(MIN(E13-'Hypothèses'!$B$25,'Hypothèses'!$B$27-'Hypothèses'!$B$25),0)/1000*'Hypothèses'!$B$28+MAX(E13-'Hypothèses'!$B$27,0)/1000*'Hypothèses'!$B$29)*'Hypothèses'!$B$30</x:f>
        <x:v>0</x:v>
      </x:c>
      <x:c r="P13" s="53" t="n">
        <x:f>IF(A13&gt;='Hypothèses'!$B$12,'Hypothèses'!$B$15,0)+L13*'Hypothèses'!$B$16</x:f>
        <x:v>30.694169840000004</x:v>
      </x:c>
      <x:c r="Q13" s="53" t="n">
        <x:f>MAX(N13*'Hypothèses'!$B$17,'Hypothèses'!$B$18)+'Acquisition'!$M$13</x:f>
        <x:v>674.0835144902003</x:v>
      </x:c>
      <x:c r="R13" s="53" t="n">
        <x:f>'Hypothèses'!$B$21</x:f>
        <x:v>150</x:v>
      </x:c>
      <x:c r="S13" s="53" t="n">
        <x:f>'Hypothèses'!$B$19</x:f>
        <x:v>200</x:v>
      </x:c>
      <x:c r="T13" s="53" t="n">
        <x:f>'Hypothèses'!$B$20</x:f>
        <x:v>100</x:v>
      </x:c>
      <x:c r="U13" s="53" t="n">
        <x:f>'Hypothèses'!$D$43</x:f>
        <x:v>0</x:v>
      </x:c>
      <x:c r="V13" s="53" t="n">
        <x:f>N13-SUM(O13:T13)-Z13</x:f>
        <x:v>3275.669257966175</x:v>
      </x:c>
      <x:c r="W13" s="53" t="n">
        <x:f>SUM(O13:U13)+Z13</x:f>
        <x:v>1218.2208386351604</x:v>
      </x:c>
      <x:c r="X13" s="53" t="n">
        <x:f>N13-W13</x:f>
        <x:v>3275.669257966175</x:v>
      </x:c>
      <x:c r="Y13" s="53" t="n">
        <x:f>Y12+X13</x:f>
        <x:v>12059.41886397068</x:v>
      </x:c>
      <x:c r="Z13" t="n">
        <x:f>IF(M13&gt;='Hypothèses'!$B$31*'Hypothèses'!$B$30,M13*'Hypothèses'!$B$32,0)</x:f>
        <x:v>63.443154304960025</x:v>
      </x:c>
    </x:row>
    <x:row r="14">
      <x:c r="A14" s="50" t="n">
        <x:v>11</x:v>
      </x:c>
      <x:c r="B14" s="51" t="n">
        <x:v>46692</x:v>
      </x:c>
      <x:c r="C14" s="113" t="n">
        <x:f>'Acquisition'!$P$14</x:f>
        <x:v>7781.227380300006</x:v>
      </x:c>
      <x:c r="D14" s="52" t="n">
        <x:f>SUM($C$4:C14)</x:f>
        <x:v>55593.501183300024</x:v>
      </x:c>
      <x:c r="E14" s="52" t="n">
        <x:f>C4*'Cohortes MAU'!$D$14+C5*'Cohortes MAU'!$D$13+C6*'Cohortes MAU'!$D$12+C7*'Cohortes MAU'!$D$11+C8*'Cohortes MAU'!$D$10+C9*'Cohortes MAU'!$D$9+C10*'Cohortes MAU'!$D$8+C11*'Cohortes MAU'!$D$7+C12*'Cohortes MAU'!$D$6+C13*'Cohortes MAU'!$D$5+C14*'Cohortes MAU'!$D$4</x:f>
        <x:v>11118.700236660006</x:v>
      </x:c>
      <x:c r="F14" s="52" t="n">
        <x:f>C12*'Hypothèses'!$D$39</x:f>
        <x:v>257.23065720000017</x:v>
      </x:c>
      <x:c r="G14" s="52" t="n">
        <x:f>SUM($F$4:F14)</x:f>
        <x:v>1629.5372292000009</x:v>
      </x:c>
      <x:c r="H14" s="52" t="n">
        <x:f>C11*'Hypothèses'!$D$40</x:f>
        <x:v>58.46151300000003</x:v>
      </x:c>
      <x:c r="I14" s="52" t="n">
        <x:f>G13*('Hypothèses'!$D$41/12)</x:f>
        <x:v>4.574355240000003</x:v>
      </x:c>
      <x:c r="J14" s="52" t="n">
        <x:v>0</x:v>
      </x:c>
      <x:c r="K14" s="52" t="n">
        <x:v>0</x:v>
      </x:c>
      <x:c r="L14" s="52" t="n">
        <x:f>SUM(H4:K14)</x:f>
        <x:v>119.97756664000006</x:v>
      </x:c>
      <x:c r="M14" s="53" t="n">
        <x:f>F14*'Hypothèses'!$B$6+H14*'Hypothèses'!$B$7+I14*'Hypothèses'!$B$8+J14*'Hypothèses'!$B$7+K14*'Hypothèses'!$B$8</x:f>
        <x:v>6986.742973545604</x:v>
      </x:c>
      <x:c r="N14" s="53" t="n">
        <x:f>M14/(1+'Hypothèses'!$B$9)*(1-'Hypothèses'!$B$10)</x:f>
        <x:v>4948.942939594804</x:v>
      </x:c>
      <x:c r="O14" s="53" t="n">
        <x:f>(MAX(MIN(E14-'Hypothèses'!$B$24,'Hypothèses'!$B$25-'Hypothèses'!$B$24),0)/1000*'Hypothèses'!$B$26+MAX(MIN(E14-'Hypothèses'!$B$25,'Hypothèses'!$B$27-'Hypothèses'!$B$25),0)/1000*'Hypothèses'!$B$28+MAX(E14-'Hypothèses'!$B$27,0)/1000*'Hypothèses'!$B$29)*'Hypothèses'!$B$30</x:f>
        <x:v>0</x:v>
      </x:c>
      <x:c r="P14" s="53" t="n">
        <x:f>IF(A14&gt;='Hypothèses'!$B$12,'Hypothèses'!$B$15,0)+L14*'Hypothèses'!$B$16</x:f>
        <x:v>36.99775666400001</x:v>
      </x:c>
      <x:c r="Q14" s="53" t="n">
        <x:f>MAX(N14*'Hypothèses'!$B$17,'Hypothèses'!$B$18)+'Acquisition'!$M$14</x:f>
        <x:v>742.3414409392205</x:v>
      </x:c>
      <x:c r="R14" s="53" t="n">
        <x:f>'Hypothèses'!$B$21</x:f>
        <x:v>150</x:v>
      </x:c>
      <x:c r="S14" s="53" t="n">
        <x:f>'Hypothèses'!$B$19</x:f>
        <x:v>200</x:v>
      </x:c>
      <x:c r="T14" s="53" t="n">
        <x:f>'Hypothèses'!$B$20</x:f>
        <x:v>100</x:v>
      </x:c>
      <x:c r="U14" s="53" t="n">
        <x:f>'Hypothèses'!$D$43</x:f>
        <x:v>0</x:v>
      </x:c>
      <x:c r="V14" s="53" t="n">
        <x:f>N14-SUM(O14:T14)-Z14</x:f>
        <x:v>3649.736312256127</x:v>
      </x:c>
      <x:c r="W14" s="53" t="n">
        <x:f>SUM(O14:U14)+Z14</x:f>
        <x:v>1299.2066273386765</x:v>
      </x:c>
      <x:c r="X14" s="53" t="n">
        <x:f>N14-W14</x:f>
        <x:v>3649.7363122561273</x:v>
      </x:c>
      <x:c r="Y14" s="53" t="n">
        <x:f>Y13+X14</x:f>
        <x:v>15709.155176226808</x:v>
      </x:c>
      <x:c r="Z14" t="n">
        <x:f>IF(M14&gt;='Hypothèses'!$B$31*'Hypothèses'!$B$30,M14*'Hypothèses'!$B$32,0)</x:f>
        <x:v>69.86742973545604</x:v>
      </x:c>
    </x:row>
    <x:row r="15">
      <x:c r="A15" s="50" t="n">
        <x:v>12</x:v>
      </x:c>
      <x:c r="B15" s="51" t="n">
        <x:v>46722</x:v>
      </x:c>
      <x:c r="C15" s="113" t="n">
        <x:f>'Acquisition'!$P$15</x:f>
        <x:v>8559.350118330007</x:v>
      </x:c>
      <x:c r="D15" s="52" t="n">
        <x:f>SUM($C$4:C15)</x:f>
        <x:v>64152.85130163003</x:v>
      </x:c>
      <x:c r="E15" s="52" t="n">
        <x:f>C4*'Cohortes MAU'!$D$15+C5*'Cohortes MAU'!$D$14+C6*'Cohortes MAU'!$D$13+C7*'Cohortes MAU'!$D$12+C8*'Cohortes MAU'!$D$11+C9*'Cohortes MAU'!$D$10+C10*'Cohortes MAU'!$D$9+C11*'Cohortes MAU'!$D$8+C12*'Cohortes MAU'!$D$7+C13*'Cohortes MAU'!$D$6+C14*'Cohortes MAU'!$D$5+C15*'Cohortes MAU'!$D$4</x:f>
        <x:v>12830.570260326007</x:v>
      </x:c>
      <x:c r="F15" s="52" t="n">
        <x:f>C13*'Hypothèses'!$D$39</x:f>
        <x:v>282.95372292000025</x:v>
      </x:c>
      <x:c r="G15" s="52" t="n">
        <x:f>SUM($F$4:F15)</x:f>
        <x:v>1912.490952120001</x:v>
      </x:c>
      <x:c r="H15" s="52" t="n">
        <x:f>C12*'Hypothèses'!$D$40</x:f>
        <x:v>64.30766430000004</x:v>
      </x:c>
      <x:c r="I15" s="52" t="n">
        <x:f>G14*('Hypothèses'!$D$41/12)</x:f>
        <x:v>5.431790764000003</x:v>
      </x:c>
      <x:c r="J15" s="52" t="n">
        <x:v>0</x:v>
      </x:c>
      <x:c r="K15" s="52" t="n">
        <x:v>0</x:v>
      </x:c>
      <x:c r="L15" s="52" t="n">
        <x:f>SUM(H4:K15)</x:f>
        <x:v>189.7170217040001</x:v>
      </x:c>
      <x:c r="M15" s="53" t="n">
        <x:f>F15*'Hypothèses'!$B$6+H15*'Hypothèses'!$B$7+I15*'Hypothèses'!$B$8+J15*'Hypothèses'!$B$7+K15*'Hypothèses'!$B$8</x:f>
        <x:v>7693.413270900165</x:v>
      </x:c>
      <x:c r="N15" s="53" t="n">
        <x:f>M15/(1+'Hypothèses'!$B$9)*(1-'Hypothèses'!$B$10)</x:f>
        <x:v>5449.5010668876175</x:v>
      </x:c>
      <x:c r="O15" s="53" t="n">
        <x:f>(MAX(MIN(E15-'Hypothèses'!$B$24,'Hypothèses'!$B$25-'Hypothèses'!$B$24),0)/1000*'Hypothèses'!$B$26+MAX(MIN(E15-'Hypothèses'!$B$25,'Hypothèses'!$B$27-'Hypothèses'!$B$25),0)/1000*'Hypothèses'!$B$28+MAX(E15-'Hypothèses'!$B$27,0)/1000*'Hypothèses'!$B$29)*'Hypothèses'!$B$30</x:f>
        <x:v>0</x:v>
      </x:c>
      <x:c r="P15" s="53" t="n">
        <x:f>IF(A15&gt;='Hypothèses'!$B$12,'Hypothèses'!$B$15,0)+L15*'Hypothèses'!$B$16</x:f>
        <x:v>43.97170217040001</x:v>
      </x:c>
      <x:c r="Q15" s="53" t="n">
        <x:f>MAX(N15*'Hypothèses'!$B$17,'Hypothèses'!$B$18)+'Acquisition'!$M$15</x:f>
        <x:v>817.4251600331426</x:v>
      </x:c>
      <x:c r="R15" s="53" t="n">
        <x:f>'Hypothèses'!$B$21</x:f>
        <x:v>150</x:v>
      </x:c>
      <x:c r="S15" s="53" t="n">
        <x:f>'Hypothèses'!$B$19</x:f>
        <x:v>200</x:v>
      </x:c>
      <x:c r="T15" s="53" t="n">
        <x:f>'Hypothèses'!$B$20</x:f>
        <x:v>100</x:v>
      </x:c>
      <x:c r="U15" s="53" t="n">
        <x:f>'Hypothèses'!$D$43</x:f>
        <x:v>0</x:v>
      </x:c>
      <x:c r="V15" s="53" t="n">
        <x:f>N15-SUM(O15:T15)-Z15</x:f>
        <x:v>4061.1700719750734</x:v>
      </x:c>
      <x:c r="W15" s="53" t="n">
        <x:f>SUM(O15:U15)+Z15</x:f>
        <x:v>1388.3309949125444</x:v>
      </x:c>
      <x:c r="X15" s="53" t="n">
        <x:f>N15-W15</x:f>
        <x:v>4061.1700719750734</x:v>
      </x:c>
      <x:c r="Y15" s="53" t="n">
        <x:f>Y14+X15</x:f>
        <x:v>19770.32524820188</x:v>
      </x:c>
      <x:c r="Z15" t="n">
        <x:f>IF(M15&gt;='Hypothèses'!$B$31*'Hypothèses'!$B$30,M15*'Hypothèses'!$B$32,0)</x:f>
        <x:v>76.93413270900166</x:v>
      </x:c>
    </x:row>
    <x:row r="16">
      <x:c r="A16" s="50" t="n">
        <x:v>13</x:v>
      </x:c>
      <x:c r="B16" s="51" t="n">
        <x:v>46753</x:v>
      </x:c>
      <x:c r="C16" s="113" t="n">
        <x:f>'Acquisition'!$P$16</x:f>
        <x:v>9244.098127796407</x:v>
      </x:c>
      <x:c r="D16" s="52" t="n">
        <x:f>SUM($C$4:C16)</x:f>
        <x:v>73396.94942942643</x:v>
      </x:c>
      <x:c r="E16" s="52" t="n">
        <x:f>C4*'Cohortes MAU'!$D$16+C5*'Cohortes MAU'!$D$15+C6*'Cohortes MAU'!$D$14+C7*'Cohortes MAU'!$D$13+C8*'Cohortes MAU'!$D$12+C9*'Cohortes MAU'!$D$11+C10*'Cohortes MAU'!$D$10+C11*'Cohortes MAU'!$D$9+C12*'Cohortes MAU'!$D$8+C13*'Cohortes MAU'!$D$7+C14*'Cohortes MAU'!$D$6+C15*'Cohortes MAU'!$D$5+C16*'Cohortes MAU'!$D$4</x:f>
        <x:v>14679.389885885288</x:v>
      </x:c>
      <x:c r="F16" s="52" t="n">
        <x:f>C14*'Hypothèses'!$D$39</x:f>
        <x:v>311.24909521200027</x:v>
      </x:c>
      <x:c r="G16" s="52" t="n">
        <x:f>SUM($F$4:F16)</x:f>
        <x:v>2223.7400473320013</x:v>
      </x:c>
      <x:c r="H16" s="52" t="n">
        <x:f>C13*'Hypothèses'!$D$40</x:f>
        <x:v>70.73843073000006</x:v>
      </x:c>
      <x:c r="I16" s="52" t="n">
        <x:f>G15*('Hypothèses'!$D$41/12)</x:f>
        <x:v>6.374969840400004</x:v>
      </x:c>
      <x:c r="J16" s="52" t="n">
        <x:f>(H4+J4)*'Hypothèses'!$D$42</x:f>
        <x:v>0</x:v>
      </x:c>
      <x:c r="K16" s="52" t="n">
        <x:f>(I4+K4)*'Hypothèses'!$D$42</x:f>
        <x:v>0</x:v>
      </x:c>
      <x:c r="L16" s="52" t="n">
        <x:f>SUM(H5:K16)</x:f>
        <x:v>266.8304222744002</x:v>
      </x:c>
      <x:c r="M16" s="53" t="n">
        <x:f>F16*'Hypothèses'!$B$6+H16*'Hypothèses'!$B$7+I16*'Hypothèses'!$B$8+J16*'Hypothèses'!$B$7+K16*'Hypothèses'!$B$8</x:f>
        <x:v>8470.750597990183</x:v>
      </x:c>
      <x:c r="N16" s="53" t="n">
        <x:f>M16/(1+'Hypothèses'!$B$9)*(1-'Hypothèses'!$B$10)</x:f>
        <x:v>6000.115006909714</x:v>
      </x:c>
      <x:c r="O16" s="53" t="n">
        <x:f>(MAX(MIN(E16-'Hypothèses'!$B$24,'Hypothèses'!$B$25-'Hypothèses'!$B$24),0)/1000*'Hypothèses'!$B$26+MAX(MIN(E16-'Hypothèses'!$B$25,'Hypothèses'!$B$27-'Hypothèses'!$B$25),0)/1000*'Hypothèses'!$B$28+MAX(E16-'Hypothèses'!$B$27,0)/1000*'Hypothèses'!$B$29)*'Hypothèses'!$B$30</x:f>
        <x:v>0</x:v>
      </x:c>
      <x:c r="P16" s="53" t="n">
        <x:f>IF(A16&gt;='Hypothèses'!$B$12,'Hypothèses'!$B$15,0)+L16*'Hypothèses'!$B$16</x:f>
        <x:v>51.68304222744002</x:v>
      </x:c>
      <x:c r="Q16" s="53" t="n">
        <x:f>MAX(N16*'Hypothèses'!$B$17,'Hypothèses'!$B$18)+'Acquisition'!$M$16</x:f>
        <x:v>900.0172510364571</x:v>
      </x:c>
      <x:c r="R16" s="53" t="n">
        <x:f>'Hypothèses'!$B$22</x:f>
        <x:v>250</x:v>
      </x:c>
      <x:c r="S16" s="53" t="n">
        <x:f>'Hypothèses'!$B$19</x:f>
        <x:v>200</x:v>
      </x:c>
      <x:c r="T16" s="53" t="n">
        <x:f>'Hypothèses'!$B$20</x:f>
        <x:v>100</x:v>
      </x:c>
      <x:c r="U16" s="53" t="n">
        <x:f>'Hypothèses'!$D$44</x:f>
        <x:v>3000</x:v>
      </x:c>
      <x:c r="V16" s="53" t="n">
        <x:f>N16-SUM(O16:T16)-Z16</x:f>
        <x:v>4413.707207665915</x:v>
      </x:c>
      <x:c r="W16" s="53" t="n">
        <x:f>SUM(O16:U16)+Z16</x:f>
        <x:v>4586.407799243799</x:v>
      </x:c>
      <x:c r="X16" s="53" t="n">
        <x:f>N16-W16</x:f>
        <x:v>1413.7072076659151</x:v>
      </x:c>
      <x:c r="Y16" s="53" t="n">
        <x:f>Y15+X16</x:f>
        <x:v>21184.032455867797</x:v>
      </x:c>
      <x:c r="Z16" t="n">
        <x:f>IF(M16&gt;='Hypothèses'!$B$31*'Hypothèses'!$B$30,M16*'Hypothèses'!$B$32,0)</x:f>
        <x:v>84.70750597990184</x:v>
      </x:c>
    </x:row>
    <x:row r="17">
      <x:c r="A17" s="50" t="n">
        <x:v>14</x:v>
      </x:c>
      <x:c r="B17" s="51" t="n">
        <x:v>46784</x:v>
      </x:c>
      <x:c r="C17" s="113" t="n">
        <x:f>'Acquisition'!$P$17</x:f>
        <x:v>9983.62597802012</x:v>
      </x:c>
      <x:c r="D17" s="52" t="n">
        <x:f>SUM($C$4:C17)</x:f>
        <x:v>83380.57540744655</x:v>
      </x:c>
      <x:c r="E17" s="52" t="n">
        <x:f>C4*'Cohortes MAU'!$D$17+C5*'Cohortes MAU'!$D$16+C6*'Cohortes MAU'!$D$15+C7*'Cohortes MAU'!$D$14+C8*'Cohortes MAU'!$D$13+C9*'Cohortes MAU'!$D$12+C10*'Cohortes MAU'!$D$11+C11*'Cohortes MAU'!$D$10+C12*'Cohortes MAU'!$D$9+C13*'Cohortes MAU'!$D$8+C14*'Cohortes MAU'!$D$7+C15*'Cohortes MAU'!$D$6+C16*'Cohortes MAU'!$D$5+C17*'Cohortes MAU'!$D$4</x:f>
        <x:v>16676.11508148931</x:v>
      </x:c>
      <x:c r="F17" s="52" t="n">
        <x:f>C15*'Hypothèses'!$D$39</x:f>
        <x:v>342.37400473320025</x:v>
      </x:c>
      <x:c r="G17" s="52" t="n">
        <x:f>SUM($F$4:F17)</x:f>
        <x:v>2566.1140520652016</x:v>
      </x:c>
      <x:c r="H17" s="52" t="n">
        <x:f>C14*'Hypothèses'!$D$40</x:f>
        <x:v>77.81227380300007</x:v>
      </x:c>
      <x:c r="I17" s="52" t="n">
        <x:f>G16*('Hypothèses'!$D$41/12)</x:f>
        <x:v>7.4124668244400045</x:v>
      </x:c>
      <x:c r="J17" s="52" t="n">
        <x:f>(H5+J5)*'Hypothèses'!$D$42</x:f>
        <x:v>0</x:v>
      </x:c>
      <x:c r="K17" s="52" t="n">
        <x:f>(I5+K5)*'Hypothèses'!$D$42</x:f>
        <x:v>0</x:v>
      </x:c>
      <x:c r="L17" s="52" t="n">
        <x:f>SUM(H6:K17)</x:f>
        <x:v>352.0551629018403</x:v>
      </x:c>
      <x:c r="M17" s="53" t="n">
        <x:f>F17*'Hypothèses'!$B$6+H17*'Hypothèses'!$B$7+I17*'Hypothèses'!$B$8+J17*'Hypothèses'!$B$7+K17*'Hypothèses'!$B$8</x:f>
        <x:v>9325.821657789198</x:v>
      </x:c>
      <x:c r="N17" s="53" t="n">
        <x:f>M17/(1+'Hypothèses'!$B$9)*(1-'Hypothèses'!$B$10)</x:f>
        <x:v>6605.790340934015</x:v>
      </x:c>
      <x:c r="O17" s="53" t="n">
        <x:f>(MAX(MIN(E17-'Hypothèses'!$B$24,'Hypothèses'!$B$25-'Hypothèses'!$B$24),0)/1000*'Hypothèses'!$B$26+MAX(MIN(E17-'Hypothèses'!$B$25,'Hypothèses'!$B$27-'Hypothèses'!$B$25),0)/1000*'Hypothèses'!$B$28+MAX(E17-'Hypothèses'!$B$27,0)/1000*'Hypothèses'!$B$29)*'Hypothèses'!$B$30</x:f>
        <x:v>0</x:v>
      </x:c>
      <x:c r="P17" s="53" t="n">
        <x:f>IF(A17&gt;='Hypothèses'!$B$12,'Hypothèses'!$B$15,0)+L17*'Hypothèses'!$B$16</x:f>
        <x:v>60.20551629018403</x:v>
      </x:c>
      <x:c r="Q17" s="53" t="n">
        <x:f>MAX(N17*'Hypothèses'!$B$17,'Hypothèses'!$B$18)+'Acquisition'!$M$17</x:f>
        <x:v>990.8685511401022</x:v>
      </x:c>
      <x:c r="R17" s="53" t="n">
        <x:f>'Hypothèses'!$B$22</x:f>
        <x:v>250</x:v>
      </x:c>
      <x:c r="S17" s="53" t="n">
        <x:f>'Hypothèses'!$B$19</x:f>
        <x:v>200</x:v>
      </x:c>
      <x:c r="T17" s="53" t="n">
        <x:f>'Hypothèses'!$B$20</x:f>
        <x:v>100</x:v>
      </x:c>
      <x:c r="U17" s="53" t="n">
        <x:f>'Hypothèses'!$D$44</x:f>
        <x:v>3000</x:v>
      </x:c>
      <x:c r="V17" s="53" t="n">
        <x:f>N17-SUM(O17:T17)-Z17</x:f>
        <x:v>4911.458056925837</x:v>
      </x:c>
      <x:c r="W17" s="53" t="n">
        <x:f>SUM(O17:U17)+Z17</x:f>
        <x:v>4694.332284008178</x:v>
      </x:c>
      <x:c r="X17" s="53" t="n">
        <x:f>N17-W17</x:f>
        <x:v>1911.458056925837</x:v>
      </x:c>
      <x:c r="Y17" s="53" t="n">
        <x:f>Y16+X17</x:f>
        <x:v>23095.490512793633</x:v>
      </x:c>
      <x:c r="Z17" t="n">
        <x:f>IF(M17&gt;='Hypothèses'!$B$31*'Hypothèses'!$B$30,M17*'Hypothèses'!$B$32,0)</x:f>
        <x:v>93.25821657789199</x:v>
      </x:c>
    </x:row>
    <x:row r="18">
      <x:c r="A18" s="50" t="n">
        <x:v>15</x:v>
      </x:c>
      <x:c r="B18" s="51" t="n">
        <x:v>46813</x:v>
      </x:c>
      <x:c r="C18" s="113" t="n">
        <x:f>'Acquisition'!$P$18</x:f>
        <x:v>10782.31605626173</x:v>
      </x:c>
      <x:c r="D18" s="52" t="n">
        <x:f>SUM($C$4:C18)</x:f>
        <x:v>94162.89146370828</x:v>
      </x:c>
      <x:c r="E18" s="52" t="n">
        <x:f>C4*'Cohortes MAU'!$D$18+C5*'Cohortes MAU'!$D$17+C6*'Cohortes MAU'!$D$16+C7*'Cohortes MAU'!$D$15+C8*'Cohortes MAU'!$D$14+C9*'Cohortes MAU'!$D$13+C10*'Cohortes MAU'!$D$12+C11*'Cohortes MAU'!$D$11+C12*'Cohortes MAU'!$D$10+C13*'Cohortes MAU'!$D$9+C14*'Cohortes MAU'!$D$8+C15*'Cohortes MAU'!$D$7+C16*'Cohortes MAU'!$D$6+C17*'Cohortes MAU'!$D$5+C18*'Cohortes MAU'!$D$4</x:f>
        <x:v>18832.57829274166</x:v>
      </x:c>
      <x:c r="F18" s="52" t="n">
        <x:f>C16*'Hypothèses'!$D$39</x:f>
        <x:v>369.7639251118563</x:v>
      </x:c>
      <x:c r="G18" s="52" t="n">
        <x:f>SUM($F$4:F18)</x:f>
        <x:v>2935.877977177058</x:v>
      </x:c>
      <x:c r="H18" s="52" t="n">
        <x:f>C15*'Hypothèses'!$D$40</x:f>
        <x:v>85.59350118330006</x:v>
      </x:c>
      <x:c r="I18" s="52" t="n">
        <x:f>G17*('Hypothèses'!$D$41/12)</x:f>
        <x:v>8.553713506884005</x:v>
      </x:c>
      <x:c r="J18" s="52" t="n">
        <x:f>(H6+J6)*'Hypothèses'!$D$42</x:f>
        <x:v>0</x:v>
      </x:c>
      <x:c r="K18" s="52" t="n">
        <x:f>(I6+K6)*'Hypothèses'!$D$42</x:f>
        <x:v>0</x:v>
      </x:c>
      <x:c r="L18" s="52" t="n">
        <x:f>SUM(H7:K18)</x:f>
        <x:v>446.20237759202433</x:v>
      </x:c>
      <x:c r="M18" s="53" t="n">
        <x:f>F18*'Hypothèses'!$B$6+H18*'Hypothèses'!$B$7+I18*'Hypothèses'!$B$8+J18*'Hypothèses'!$B$7+K18*'Hypothèses'!$B$8</x:f>
        <x:v>10129.518696475785</x:v>
      </x:c>
      <x:c r="N18" s="53" t="n">
        <x:f>M18/(1+'Hypothèses'!$B$9)*(1-'Hypothèses'!$B$10)</x:f>
        <x:v>7175.0757433370145</x:v>
      </x:c>
      <x:c r="O18" s="53" t="n">
        <x:f>(MAX(MIN(E18-'Hypothèses'!$B$24,'Hypothèses'!$B$25-'Hypothèses'!$B$24),0)/1000*'Hypothèses'!$B$26+MAX(MIN(E18-'Hypothèses'!$B$25,'Hypothèses'!$B$27-'Hypothèses'!$B$25),0)/1000*'Hypothèses'!$B$28+MAX(E18-'Hypothèses'!$B$27,0)/1000*'Hypothèses'!$B$29)*'Hypothèses'!$B$30</x:f>
        <x:v>0</x:v>
      </x:c>
      <x:c r="P18" s="53" t="n">
        <x:f>IF(A18&gt;='Hypothèses'!$B$12,'Hypothèses'!$B$15,0)+L18*'Hypothèses'!$B$16</x:f>
        <x:v>69.62023775920244</x:v>
      </x:c>
      <x:c r="Q18" s="53" t="n">
        <x:f>MAX(N18*'Hypothèses'!$B$17,'Hypothèses'!$B$18)+'Acquisition'!$M$18</x:f>
        <x:v>1076.261361500552</x:v>
      </x:c>
      <x:c r="R18" s="53" t="n">
        <x:f>'Hypothèses'!$B$22</x:f>
        <x:v>250</x:v>
      </x:c>
      <x:c r="S18" s="53" t="n">
        <x:f>'Hypothèses'!$B$19</x:f>
        <x:v>200</x:v>
      </x:c>
      <x:c r="T18" s="53" t="n">
        <x:f>'Hypothèses'!$B$20</x:f>
        <x:v>100</x:v>
      </x:c>
      <x:c r="U18" s="53" t="n">
        <x:f>'Hypothèses'!$D$44</x:f>
        <x:v>3000</x:v>
      </x:c>
      <x:c r="V18" s="53" t="n">
        <x:f>N18-SUM(O18:T18)-Z18</x:f>
        <x:v>5377.898957112502</x:v>
      </x:c>
      <x:c r="W18" s="53" t="n">
        <x:f>SUM(O18:U18)+Z18</x:f>
        <x:v>4797.176786224512</x:v>
      </x:c>
      <x:c r="X18" s="53" t="n">
        <x:f>N18-W18</x:f>
        <x:v>2377.898957112502</x:v>
      </x:c>
      <x:c r="Y18" s="53" t="n">
        <x:f>Y17+X18</x:f>
        <x:v>25473.389469906135</x:v>
      </x:c>
      <x:c r="Z18" t="n">
        <x:f>IF(M18&gt;='Hypothèses'!$B$31*'Hypothèses'!$B$30,M18*'Hypothèses'!$B$32,0)</x:f>
        <x:v>101.29518696475785</x:v>
      </x:c>
    </x:row>
    <x:row r="19">
      <x:c r="A19" s="50" t="n">
        <x:v>16</x:v>
      </x:c>
      <x:c r="B19" s="51" t="n">
        <x:v>46844</x:v>
      </x:c>
      <x:c r="C19" s="113" t="n">
        <x:f>'Acquisition'!$P$19</x:f>
        <x:v>11644.90134076267</x:v>
      </x:c>
      <x:c r="D19" s="52" t="n">
        <x:f>SUM($C$4:C19)</x:f>
        <x:v>105807.79280447096</x:v>
      </x:c>
      <x:c r="E19" s="52" t="n">
        <x:f>C4*'Cohortes MAU'!$D$19+C5*'Cohortes MAU'!$D$18+C6*'Cohortes MAU'!$D$17+C7*'Cohortes MAU'!$D$16+C8*'Cohortes MAU'!$D$15+C9*'Cohortes MAU'!$D$14+C10*'Cohortes MAU'!$D$13+C11*'Cohortes MAU'!$D$12+C12*'Cohortes MAU'!$D$11+C13*'Cohortes MAU'!$D$10+C14*'Cohortes MAU'!$D$9+C15*'Cohortes MAU'!$D$8+C16*'Cohortes MAU'!$D$7+C17*'Cohortes MAU'!$D$6+C18*'Cohortes MAU'!$D$5+C19*'Cohortes MAU'!$D$4</x:f>
        <x:v>21161.55856089419</x:v>
      </x:c>
      <x:c r="F19" s="52" t="n">
        <x:f>C17*'Hypothèses'!$D$39</x:f>
        <x:v>399.3450391208048</x:v>
      </x:c>
      <x:c r="G19" s="52" t="n">
        <x:f>SUM($F$4:F19)</x:f>
        <x:v>3335.2230162978626</x:v>
      </x:c>
      <x:c r="H19" s="52" t="n">
        <x:f>C16*'Hypothèses'!$D$40</x:f>
        <x:v>92.44098127796407</x:v>
      </x:c>
      <x:c r="I19" s="52" t="n">
        <x:f>G18*('Hypothèses'!$D$41/12)</x:f>
        <x:v>9.786259923923527</x:v>
      </x:c>
      <x:c r="J19" s="52" t="n">
        <x:f>(H7+J7)*'Hypothèses'!$D$42</x:f>
        <x:v>0</x:v>
      </x:c>
      <x:c r="K19" s="52" t="n">
        <x:f>(I7+K7)*'Hypothèses'!$D$42</x:f>
        <x:v>0</x:v>
      </x:c>
      <x:c r="L19" s="52" t="n">
        <x:f>SUM(H8:K19)</x:f>
        <x:v>548.429618793912</x:v>
      </x:c>
      <x:c r="M19" s="53" t="n">
        <x:f>F19*'Hypothèses'!$B$6+H19*'Hypothèses'!$B$7+I19*'Hypothèses'!$B$8+J19*'Hypothèses'!$B$7+K19*'Hypothèses'!$B$8</x:f>
        <x:v>10950.839696430261</x:v>
      </x:c>
      <x:c r="N19" s="53" t="n">
        <x:f>M19/(1+'Hypothèses'!$B$9)*(1-'Hypothèses'!$B$10)</x:f>
        <x:v>7756.844784971435</x:v>
      </x:c>
      <x:c r="O19" s="53" t="n">
        <x:f>(MAX(MIN(E19-'Hypothèses'!$B$24,'Hypothèses'!$B$25-'Hypothèses'!$B$24),0)/1000*'Hypothèses'!$B$26+MAX(MIN(E19-'Hypothèses'!$B$25,'Hypothèses'!$B$27-'Hypothèses'!$B$25),0)/1000*'Hypothèses'!$B$28+MAX(E19-'Hypothèses'!$B$27,0)/1000*'Hypothèses'!$B$29)*'Hypothèses'!$B$30</x:f>
        <x:v>0</x:v>
      </x:c>
      <x:c r="P19" s="53" t="n">
        <x:f>IF(A19&gt;='Hypothèses'!$B$12,'Hypothèses'!$B$15,0)+L19*'Hypothèses'!$B$16</x:f>
        <x:v>79.8429618793912</x:v>
      </x:c>
      <x:c r="Q19" s="53" t="n">
        <x:f>MAX(N19*'Hypothèses'!$B$17,'Hypothèses'!$B$18)+'Acquisition'!$M$19</x:f>
        <x:v>1163.5267177457151</x:v>
      </x:c>
      <x:c r="R19" s="53" t="n">
        <x:f>'Hypothèses'!$B$22</x:f>
        <x:v>250</x:v>
      </x:c>
      <x:c r="S19" s="53" t="n">
        <x:f>'Hypothèses'!$B$19</x:f>
        <x:v>200</x:v>
      </x:c>
      <x:c r="T19" s="53" t="n">
        <x:f>'Hypothèses'!$B$20</x:f>
        <x:v>100</x:v>
      </x:c>
      <x:c r="U19" s="53" t="n">
        <x:f>'Hypothèses'!$D$44</x:f>
        <x:v>3000</x:v>
      </x:c>
      <x:c r="V19" s="53" t="n">
        <x:f>N19-SUM(O19:T19)-Z19</x:f>
        <x:v>5853.966708382026</x:v>
      </x:c>
      <x:c r="W19" s="53" t="n">
        <x:f>SUM(O19:U19)+Z19</x:f>
        <x:v>4902.878076589409</x:v>
      </x:c>
      <x:c r="X19" s="53" t="n">
        <x:f>N19-W19</x:f>
        <x:v>2853.966708382026</x:v>
      </x:c>
      <x:c r="Y19" s="53" t="n">
        <x:f>Y18+X19</x:f>
        <x:v>28327.35617828816</x:v>
      </x:c>
      <x:c r="Z19" t="n">
        <x:f>IF(M19&gt;='Hypothèses'!$B$31*'Hypothèses'!$B$30,M19*'Hypothèses'!$B$32,0)</x:f>
        <x:v>109.50839696430262</x:v>
      </x:c>
    </x:row>
    <x:row r="20">
      <x:c r="A20" s="50" t="n">
        <x:v>17</x:v>
      </x:c>
      <x:c r="B20" s="51" t="n">
        <x:v>46874</x:v>
      </x:c>
      <x:c r="C20" s="113" t="n">
        <x:f>'Acquisition'!$P$20</x:f>
        <x:v>12576.493448023684</x:v>
      </x:c>
      <x:c r="D20" s="52" t="n">
        <x:f>SUM($C$4:C20)</x:f>
        <x:v>118384.28625249464</x:v>
      </x:c>
      <x:c r="E20" s="52" t="n">
        <x:f>C4*'Cohortes MAU'!$D$20+C5*'Cohortes MAU'!$D$19+C6*'Cohortes MAU'!$D$18+C7*'Cohortes MAU'!$D$17+C8*'Cohortes MAU'!$D$16+C9*'Cohortes MAU'!$D$15+C10*'Cohortes MAU'!$D$14+C11*'Cohortes MAU'!$D$13+C12*'Cohortes MAU'!$D$12+C13*'Cohortes MAU'!$D$11+C14*'Cohortes MAU'!$D$10+C15*'Cohortes MAU'!$D$9+C16*'Cohortes MAU'!$D$8+C17*'Cohortes MAU'!$D$7+C18*'Cohortes MAU'!$D$6+C19*'Cohortes MAU'!$D$5+C20*'Cohortes MAU'!$D$4</x:f>
        <x:v>23676.857250498928</x:v>
      </x:c>
      <x:c r="F20" s="52" t="n">
        <x:f>C18*'Hypothèses'!$D$39</x:f>
        <x:v>431.2926422504692</x:v>
      </x:c>
      <x:c r="G20" s="52" t="n">
        <x:f>SUM($F$4:F20)</x:f>
        <x:v>3766.515658548332</x:v>
      </x:c>
      <x:c r="H20" s="52" t="n">
        <x:f>C17*'Hypothèses'!$D$40</x:f>
        <x:v>99.8362597802012</x:v>
      </x:c>
      <x:c r="I20" s="52" t="n">
        <x:f>G19*('Hypothèses'!$D$41/12)</x:f>
        <x:v>11.117410054326209</x:v>
      </x:c>
      <x:c r="J20" s="52" t="n">
        <x:f>(H8+J8)*'Hypothèses'!$D$42</x:f>
        <x:v>0</x:v>
      </x:c>
      <x:c r="K20" s="52" t="n">
        <x:f>(I8+K8)*'Hypothèses'!$D$42</x:f>
        <x:v>0</x:v>
      </x:c>
      <x:c r="L20" s="52" t="n">
        <x:f>SUM(H9:K20)</x:f>
        <x:v>659.3832886284395</x:v>
      </x:c>
      <x:c r="M20" s="53" t="n">
        <x:f>F20*'Hypothèses'!$B$6+H20*'Hypothèses'!$B$7+I20*'Hypothèses'!$B$8+J20*'Hypothèses'!$B$7+K20*'Hypothèses'!$B$8</x:f>
        <x:v>11837.866376381093</x:v>
      </x:c>
      <x:c r="N20" s="53" t="n">
        <x:f>M20/(1+'Hypothèses'!$B$9)*(1-'Hypothèses'!$B$10)</x:f>
        <x:v>8385.155349936607</x:v>
      </x:c>
      <x:c r="O20" s="53" t="n">
        <x:f>(MAX(MIN(E20-'Hypothèses'!$B$24,'Hypothèses'!$B$25-'Hypothèses'!$B$24),0)/1000*'Hypothèses'!$B$26+MAX(MIN(E20-'Hypothèses'!$B$25,'Hypothèses'!$B$27-'Hypothèses'!$B$25),0)/1000*'Hypothèses'!$B$28+MAX(E20-'Hypothèses'!$B$27,0)/1000*'Hypothèses'!$B$29)*'Hypothèses'!$B$30</x:f>
        <x:v>0</x:v>
      </x:c>
      <x:c r="P20" s="53" t="n">
        <x:f>IF(A20&gt;='Hypothèses'!$B$12,'Hypothèses'!$B$15,0)+L20*'Hypothèses'!$B$16</x:f>
        <x:v>90.93832886284395</x:v>
      </x:c>
      <x:c r="Q20" s="53" t="n">
        <x:f>MAX(N20*'Hypothèses'!$B$17,'Hypothèses'!$B$18)+'Acquisition'!$M$20</x:f>
        <x:v>1257.773302490491</x:v>
      </x:c>
      <x:c r="R20" s="53" t="n">
        <x:f>'Hypothèses'!$B$22</x:f>
        <x:v>250</x:v>
      </x:c>
      <x:c r="S20" s="53" t="n">
        <x:f>'Hypothèses'!$B$19</x:f>
        <x:v>200</x:v>
      </x:c>
      <x:c r="T20" s="53" t="n">
        <x:f>'Hypothèses'!$B$20</x:f>
        <x:v>100</x:v>
      </x:c>
      <x:c r="U20" s="53" t="n">
        <x:f>'Hypothèses'!$D$44</x:f>
        <x:v>3000</x:v>
      </x:c>
      <x:c r="V20" s="53" t="n">
        <x:f>N20-SUM(O20:T20)-Z20</x:f>
        <x:v>6368.065054819461</x:v>
      </x:c>
      <x:c r="W20" s="53" t="n">
        <x:f>SUM(O20:U20)+Z20</x:f>
        <x:v>5017.0902951171465</x:v>
      </x:c>
      <x:c r="X20" s="53" t="n">
        <x:f>N20-W20</x:f>
        <x:v>3368.065054819461</x:v>
      </x:c>
      <x:c r="Y20" s="53" t="n">
        <x:f>Y19+X20</x:f>
        <x:v>31695.42123310762</x:v>
      </x:c>
      <x:c r="Z20" t="n">
        <x:f>IF(M20&gt;='Hypothèses'!$B$31*'Hypothèses'!$B$30,M20*'Hypothèses'!$B$32,0)</x:f>
        <x:v>118.37866376381093</x:v>
      </x:c>
    </x:row>
    <x:row r="21">
      <x:c r="A21" s="50" t="n">
        <x:v>18</x:v>
      </x:c>
      <x:c r="B21" s="51" t="n">
        <x:v>46905</x:v>
      </x:c>
      <x:c r="C21" s="113" t="n">
        <x:f>'Acquisition'!$P$21</x:f>
        <x:v>13582.61292386558</x:v>
      </x:c>
      <x:c r="D21" s="52" t="n">
        <x:f>SUM($C$4:C21)</x:f>
        <x:v>131966.89917636022</x:v>
      </x:c>
      <x:c r="E21" s="52" t="n">
        <x:f>C4*'Cohortes MAU'!$D$21+C5*'Cohortes MAU'!$D$20+C6*'Cohortes MAU'!$D$19+C7*'Cohortes MAU'!$D$18+C8*'Cohortes MAU'!$D$17+C9*'Cohortes MAU'!$D$16+C10*'Cohortes MAU'!$D$15+C11*'Cohortes MAU'!$D$14+C12*'Cohortes MAU'!$D$13+C13*'Cohortes MAU'!$D$12+C14*'Cohortes MAU'!$D$11+C15*'Cohortes MAU'!$D$10+C16*'Cohortes MAU'!$D$9+C17*'Cohortes MAU'!$D$8+C18*'Cohortes MAU'!$D$7+C19*'Cohortes MAU'!$D$6+C20*'Cohortes MAU'!$D$5+C21*'Cohortes MAU'!$D$4</x:f>
        <x:v>26393.379835272044</x:v>
      </x:c>
      <x:c r="F21" s="52" t="n">
        <x:f>C19*'Hypothèses'!$D$39</x:f>
        <x:v>465.7960536305068</x:v>
      </x:c>
      <x:c r="G21" s="52" t="n">
        <x:f>SUM($F$4:F21)</x:f>
        <x:v>4232.311712178838</x:v>
      </x:c>
      <x:c r="H21" s="52" t="n">
        <x:f>C18*'Hypothèses'!$D$40</x:f>
        <x:v>107.8231605626173</x:v>
      </x:c>
      <x:c r="I21" s="52" t="n">
        <x:f>G20*('Hypothèses'!$D$41/12)</x:f>
        <x:v>12.555052195161107</x:v>
      </x:c>
      <x:c r="J21" s="52" t="n">
        <x:f>(H9+J9)*'Hypothèses'!$D$42</x:f>
        <x:v>0</x:v>
      </x:c>
      <x:c r="K21" s="52" t="n">
        <x:f>(I9+K9)*'Hypothèses'!$D$42</x:f>
        <x:v>0</x:v>
      </x:c>
      <x:c r="L21" s="52" t="n">
        <x:f>SUM(H10:K21)</x:f>
        <x:v>779.7615013862179</x:v>
      </x:c>
      <x:c r="M21" s="53" t="n">
        <x:f>F21*'Hypothèses'!$B$6+H21*'Hypothèses'!$B$7+I21*'Hypothèses'!$B$8+J21*'Hypothèses'!$B$7+K21*'Hypothèses'!$B$8</x:f>
        <x:v>12795.855190727993</x:v>
      </x:c>
      <x:c r="N21" s="53" t="n">
        <x:f>M21/(1+'Hypothèses'!$B$9)*(1-'Hypothèses'!$B$10)</x:f>
        <x:v>9063.730760098995</x:v>
      </x:c>
      <x:c r="O21" s="53" t="n">
        <x:f>(MAX(MIN(E21-'Hypothèses'!$B$24,'Hypothèses'!$B$25-'Hypothèses'!$B$24),0)/1000*'Hypothèses'!$B$26+MAX(MIN(E21-'Hypothèses'!$B$25,'Hypothèses'!$B$27-'Hypothèses'!$B$25),0)/1000*'Hypothèses'!$B$28+MAX(E21-'Hypothèses'!$B$27,0)/1000*'Hypothèses'!$B$29)*'Hypothèses'!$B$30</x:f>
        <x:v>5.5735193410881765</x:v>
      </x:c>
      <x:c r="P21" s="53" t="n">
        <x:f>IF(A21&gt;='Hypothèses'!$B$12,'Hypothèses'!$B$15,0)+L21*'Hypothèses'!$B$16</x:f>
        <x:v>102.97615013862179</x:v>
      </x:c>
      <x:c r="Q21" s="53" t="n">
        <x:f>MAX(N21*'Hypothèses'!$B$17,'Hypothèses'!$B$18)+'Acquisition'!$M$21</x:f>
        <x:v>1359.5596140148493</x:v>
      </x:c>
      <x:c r="R21" s="53" t="n">
        <x:f>'Hypothèses'!$B$22</x:f>
        <x:v>250</x:v>
      </x:c>
      <x:c r="S21" s="53" t="n">
        <x:f>'Hypothèses'!$B$19</x:f>
        <x:v>200</x:v>
      </x:c>
      <x:c r="T21" s="53" t="n">
        <x:f>'Hypothèses'!$B$20</x:f>
        <x:v>100</x:v>
      </x:c>
      <x:c r="U21" s="53" t="n">
        <x:f>'Hypothèses'!$D$44</x:f>
        <x:v>3000</x:v>
      </x:c>
      <x:c r="V21" s="53" t="n">
        <x:f>N21-SUM(O21:T21)-Z21</x:f>
        <x:v>6917.662924697156</x:v>
      </x:c>
      <x:c r="W21" s="53" t="n">
        <x:f>SUM(O21:U21)+Z21</x:f>
        <x:v>5146.067835401839</x:v>
      </x:c>
      <x:c r="X21" s="53" t="n">
        <x:f>N21-W21</x:f>
        <x:v>3917.662924697156</x:v>
      </x:c>
      <x:c r="Y21" s="53" t="n">
        <x:f>Y20+X21</x:f>
        <x:v>35613.08415780478</x:v>
      </x:c>
      <x:c r="Z21" t="n">
        <x:f>IF(M21&gt;='Hypothèses'!$B$31*'Hypothèses'!$B$30,M21*'Hypothèses'!$B$32,0)</x:f>
        <x:v>127.95855190727993</x:v>
      </x:c>
    </x:row>
    <x:row r="22">
      <x:c r="A22" s="50" t="n">
        <x:v>19</x:v>
      </x:c>
      <x:c r="B22" s="51" t="n">
        <x:v>46935</x:v>
      </x:c>
      <x:c r="C22" s="113" t="n">
        <x:f>'Acquisition'!$P$22</x:f>
        <x:v>14669.221957774827</x:v>
      </x:c>
      <x:c r="D22" s="52" t="n">
        <x:f>SUM($C$4:C22)</x:f>
        <x:v>146636.12113413506</x:v>
      </x:c>
      <x:c r="E22" s="52" t="n">
        <x:f>C4*'Cohortes MAU'!$D$22+C5*'Cohortes MAU'!$D$21+C6*'Cohortes MAU'!$D$20+C7*'Cohortes MAU'!$D$19+C8*'Cohortes MAU'!$D$18+C9*'Cohortes MAU'!$D$17+C10*'Cohortes MAU'!$D$16+C11*'Cohortes MAU'!$D$15+C12*'Cohortes MAU'!$D$14+C13*'Cohortes MAU'!$D$13+C14*'Cohortes MAU'!$D$12+C15*'Cohortes MAU'!$D$11+C16*'Cohortes MAU'!$D$10+C17*'Cohortes MAU'!$D$9+C18*'Cohortes MAU'!$D$8+C19*'Cohortes MAU'!$D$7+C20*'Cohortes MAU'!$D$6+C21*'Cohortes MAU'!$D$5+C22*'Cohortes MAU'!$D$4</x:f>
        <x:v>29327.22422682701</x:v>
      </x:c>
      <x:c r="F22" s="52" t="n">
        <x:f>C20*'Hypothèses'!$D$39</x:f>
        <x:v>503.0597379209474</x:v>
      </x:c>
      <x:c r="G22" s="52" t="n">
        <x:f>SUM($F$4:F22)</x:f>
        <x:v>4735.371450099786</x:v>
      </x:c>
      <x:c r="H22" s="52" t="n">
        <x:f>C19*'Hypothèses'!$D$40</x:f>
        <x:v>116.4490134076267</x:v>
      </x:c>
      <x:c r="I22" s="52" t="n">
        <x:f>G21*('Hypothèses'!$D$41/12)</x:f>
        <x:v>14.107705707262795</x:v>
      </x:c>
      <x:c r="J22" s="52" t="n">
        <x:f>(H10+J10)*'Hypothèses'!$D$42</x:f>
        <x:v>0</x:v>
      </x:c>
      <x:c r="K22" s="52" t="n">
        <x:f>(I10+K10)*'Hypothèses'!$D$42</x:f>
        <x:v>0</x:v>
      </x:c>
      <x:c r="L22" s="52" t="n">
        <x:f>SUM(H11:K22)</x:f>
        <x:v>910.3182205011074</x:v>
      </x:c>
      <x:c r="M22" s="53" t="n">
        <x:f>F22*'Hypothèses'!$B$6+H22*'Hypothèses'!$B$7+I22*'Hypothèses'!$B$8+J22*'Hypothèses'!$B$7+K22*'Hypothèses'!$B$8</x:f>
        <x:v>13830.483110222647</x:v>
      </x:c>
      <x:c r="N22" s="53" t="n">
        <x:f>M22/(1+'Hypothèses'!$B$9)*(1-'Hypothèses'!$B$10)</x:f>
        <x:v>9796.592203074375</x:v>
      </x:c>
      <x:c r="O22" s="53" t="n">
        <x:f>(MAX(MIN(E22-'Hypothèses'!$B$24,'Hypothèses'!$B$25-'Hypothèses'!$B$24),0)/1000*'Hypothèses'!$B$26+MAX(MIN(E22-'Hypothèses'!$B$25,'Hypothèses'!$B$27-'Hypothèses'!$B$25),0)/1000*'Hypothèses'!$B$28+MAX(E22-'Hypothèses'!$B$27,0)/1000*'Hypothèses'!$B$29)*'Hypothèses'!$B$30</x:f>
        <x:v>17.308896907308036</x:v>
      </x:c>
      <x:c r="P22" s="53" t="n">
        <x:f>IF(A22&gt;='Hypothèses'!$B$12,'Hypothèses'!$B$15,0)+L22*'Hypothèses'!$B$16</x:f>
        <x:v>116.03182205011075</x:v>
      </x:c>
      <x:c r="Q22" s="53" t="n">
        <x:f>MAX(N22*'Hypothèses'!$B$17,'Hypothèses'!$B$18)+'Acquisition'!$M$22</x:f>
        <x:v>1469.488830461156</x:v>
      </x:c>
      <x:c r="R22" s="53" t="n">
        <x:f>'Hypothèses'!$B$22</x:f>
        <x:v>250</x:v>
      </x:c>
      <x:c r="S22" s="53" t="n">
        <x:f>'Hypothèses'!$B$19</x:f>
        <x:v>200</x:v>
      </x:c>
      <x:c r="T22" s="53" t="n">
        <x:f>'Hypothèses'!$B$20</x:f>
        <x:v>100</x:v>
      </x:c>
      <x:c r="U22" s="53" t="n">
        <x:f>'Hypothèses'!$D$44</x:f>
        <x:v>3000</x:v>
      </x:c>
      <x:c r="V22" s="53" t="n">
        <x:f>N22-SUM(O22:T22)-Z22</x:f>
        <x:v>7505.457822553573</x:v>
      </x:c>
      <x:c r="W22" s="53" t="n">
        <x:f>SUM(O22:U22)+Z22</x:f>
        <x:v>5291.134380520802</x:v>
      </x:c>
      <x:c r="X22" s="53" t="n">
        <x:f>N22-W22</x:f>
        <x:v>4505.457822553573</x:v>
      </x:c>
      <x:c r="Y22" s="53" t="n">
        <x:f>Y21+X22</x:f>
        <x:v>40118.54198035835</x:v>
      </x:c>
      <x:c r="Z22" t="n">
        <x:f>IF(M22&gt;='Hypothèses'!$B$31*'Hypothèses'!$B$30,M22*'Hypothèses'!$B$32,0)</x:f>
        <x:v>138.30483110222647</x:v>
      </x:c>
    </x:row>
    <x:row r="23">
      <x:c r="A23" s="50" t="n">
        <x:v>20</x:v>
      </x:c>
      <x:c r="B23" s="51" t="n">
        <x:v>46966</x:v>
      </x:c>
      <x:c r="C23" s="113" t="n">
        <x:f>'Acquisition'!$P$23</x:f>
        <x:v>15842.759714396814</x:v>
      </x:c>
      <x:c r="D23" s="52" t="n">
        <x:f>SUM($C$4:C23)</x:f>
        <x:v>162478.88084853187</x:v>
      </x:c>
      <x:c r="E23" s="52" t="n">
        <x:f>C4*'Cohortes MAU'!$D$23+C5*'Cohortes MAU'!$D$22+C6*'Cohortes MAU'!$D$21+C7*'Cohortes MAU'!$D$20+C8*'Cohortes MAU'!$D$19+C9*'Cohortes MAU'!$D$18+C10*'Cohortes MAU'!$D$17+C11*'Cohortes MAU'!$D$16+C12*'Cohortes MAU'!$D$15+C13*'Cohortes MAU'!$D$14+C14*'Cohortes MAU'!$D$13+C15*'Cohortes MAU'!$D$12+C16*'Cohortes MAU'!$D$11+C17*'Cohortes MAU'!$D$10+C18*'Cohortes MAU'!$D$9+C19*'Cohortes MAU'!$D$8+C20*'Cohortes MAU'!$D$7+C21*'Cohortes MAU'!$D$6+C22*'Cohortes MAU'!$D$5+C23*'Cohortes MAU'!$D$4</x:f>
        <x:v>32495.776169706372</x:v>
      </x:c>
      <x:c r="F23" s="52" t="n">
        <x:f>C21*'Hypothèses'!$D$39</x:f>
        <x:v>543.3045169546232</x:v>
      </x:c>
      <x:c r="G23" s="52" t="n">
        <x:f>SUM($F$4:F23)</x:f>
        <x:v>5278.675967054409</x:v>
      </x:c>
      <x:c r="H23" s="52" t="n">
        <x:f>C20*'Hypothèses'!$D$40</x:f>
        <x:v>125.76493448023685</x:v>
      </x:c>
      <x:c r="I23" s="52" t="n">
        <x:f>G22*('Hypothèses'!$D$41/12)</x:f>
        <x:v>15.78457150033262</x:v>
      </x:c>
      <x:c r="J23" s="52" t="n">
        <x:f>(H11+J11)*'Hypothèses'!$D$42</x:f>
        <x:v>0</x:v>
      </x:c>
      <x:c r="K23" s="52" t="n">
        <x:f>(I11+K11)*'Hypothèses'!$D$42</x:f>
        <x:v>0</x:v>
      </x:c>
      <x:c r="L23" s="52" t="n">
        <x:f>SUM(H12:K23)</x:f>
        <x:v>1051.867726481677</x:v>
      </x:c>
      <x:c r="M23" s="53" t="n">
        <x:f>F23*'Hypothèses'!$B$6+H23*'Hypothèses'!$B$7+I23*'Hypothèses'!$B$8+J23*'Hypothèses'!$B$7+K23*'Hypothèses'!$B$8</x:f>
        <x:v>14947.88126327687</x:v>
      </x:c>
      <x:c r="N23" s="53" t="n">
        <x:f>M23/(1+'Hypothèses'!$B$9)*(1-'Hypothèses'!$B$10)</x:f>
        <x:v>10588.082561487783</x:v>
      </x:c>
      <x:c r="O23" s="53" t="n">
        <x:f>(MAX(MIN(E23-'Hypothèses'!$B$24,'Hypothèses'!$B$25-'Hypothèses'!$B$24),0)/1000*'Hypothèses'!$B$26+MAX(MIN(E23-'Hypothèses'!$B$25,'Hypothèses'!$B$27-'Hypothèses'!$B$25),0)/1000*'Hypothèses'!$B$28+MAX(E23-'Hypothèses'!$B$27,0)/1000*'Hypothèses'!$B$29)*'Hypothèses'!$B$30</x:f>
        <x:v>29.98310467882549</x:v>
      </x:c>
      <x:c r="P23" s="53" t="n">
        <x:f>IF(A23&gt;='Hypothèses'!$B$12,'Hypothèses'!$B$15,0)+L23*'Hypothèses'!$B$16</x:f>
        <x:v>130.1867726481677</x:v>
      </x:c>
      <x:c r="Q23" s="53" t="n">
        <x:f>MAX(N23*'Hypothèses'!$B$17,'Hypothèses'!$B$18)+'Acquisition'!$M$23</x:f>
        <x:v>1588.2123842231674</x:v>
      </x:c>
      <x:c r="R23" s="53" t="n">
        <x:f>'Hypothèses'!$B$22</x:f>
        <x:v>250</x:v>
      </x:c>
      <x:c r="S23" s="53" t="n">
        <x:f>'Hypothèses'!$B$19</x:f>
        <x:v>200</x:v>
      </x:c>
      <x:c r="T23" s="53" t="n">
        <x:f>'Hypothèses'!$B$20</x:f>
        <x:v>100</x:v>
      </x:c>
      <x:c r="U23" s="53" t="n">
        <x:f>'Hypothèses'!$D$44</x:f>
        <x:v>3000</x:v>
      </x:c>
      <x:c r="V23" s="53" t="n">
        <x:f>N23-SUM(O23:T23)-Z23</x:f>
        <x:v>8140.221487304855</x:v>
      </x:c>
      <x:c r="W23" s="53" t="n">
        <x:f>SUM(O23:U23)+Z23</x:f>
        <x:v>5447.861074182929</x:v>
      </x:c>
      <x:c r="X23" s="53" t="n">
        <x:f>N23-W23</x:f>
        <x:v>5140.221487304854</x:v>
      </x:c>
      <x:c r="Y23" s="53" t="n">
        <x:f>Y22+X23</x:f>
        <x:v>45258.7634676632</x:v>
      </x:c>
      <x:c r="Z23" t="n">
        <x:f>IF(M23&gt;='Hypothèses'!$B$31*'Hypothèses'!$B$30,M23*'Hypothèses'!$B$32,0)</x:f>
        <x:v>149.4788126327687</x:v>
      </x:c>
    </x:row>
    <x:row r="24">
      <x:c r="A24" s="50" t="n">
        <x:v>21</x:v>
      </x:c>
      <x:c r="B24" s="51" t="n">
        <x:v>46997</x:v>
      </x:c>
      <x:c r="C24" s="113" t="n">
        <x:f>'Acquisition'!$P$24</x:f>
        <x:v>17110.18049154856</x:v>
      </x:c>
      <x:c r="D24" s="52" t="n">
        <x:f>SUM($C$4:C24)</x:f>
        <x:v>179589.06134008043</x:v>
      </x:c>
      <x:c r="E24" s="52" t="n">
        <x:f>C4*'Cohortes MAU'!$D$24+C5*'Cohortes MAU'!$D$23+C6*'Cohortes MAU'!$D$22+C7*'Cohortes MAU'!$D$21+C8*'Cohortes MAU'!$D$20+C9*'Cohortes MAU'!$D$19+C10*'Cohortes MAU'!$D$18+C11*'Cohortes MAU'!$D$17+C12*'Cohortes MAU'!$D$16+C13*'Cohortes MAU'!$D$15+C14*'Cohortes MAU'!$D$14+C15*'Cohortes MAU'!$D$13+C16*'Cohortes MAU'!$D$12+C17*'Cohortes MAU'!$D$11+C18*'Cohortes MAU'!$D$10+C19*'Cohortes MAU'!$D$9+C20*'Cohortes MAU'!$D$8+C21*'Cohortes MAU'!$D$7+C22*'Cohortes MAU'!$D$6+C23*'Cohortes MAU'!$D$5+C24*'Cohortes MAU'!$D$4</x:f>
        <x:v>35917.81226801608</x:v>
      </x:c>
      <x:c r="F24" s="52" t="n">
        <x:f>C22*'Hypothèses'!$D$39</x:f>
        <x:v>586.7688783109932</x:v>
      </x:c>
      <x:c r="G24" s="52" t="n">
        <x:f>SUM($F$4:F24)</x:f>
        <x:v>5865.444845365402</x:v>
      </x:c>
      <x:c r="H24" s="52" t="n">
        <x:f>C21*'Hypothèses'!$D$40</x:f>
        <x:v>135.8261292386558</x:v>
      </x:c>
      <x:c r="I24" s="52" t="n">
        <x:f>G23*('Hypothèses'!$D$41/12)</x:f>
        <x:v>17.59558655684803</x:v>
      </x:c>
      <x:c r="J24" s="52" t="n">
        <x:f>(H12+J12)*'Hypothèses'!$D$42</x:f>
        <x:v>0</x:v>
      </x:c>
      <x:c r="K24" s="52" t="n">
        <x:f>(I12+K12)*'Hypothèses'!$D$42</x:f>
        <x:v>0</x:v>
      </x:c>
      <x:c r="L24" s="52" t="n">
        <x:f>SUM(H13:K24)</x:f>
        <x:v>1205.2894422771808</x:v>
      </x:c>
      <x:c r="M24" s="53" t="n">
        <x:f>F24*'Hypothèses'!$B$6+H24*'Hypothèses'!$B$7+I24*'Hypothèses'!$B$8+J24*'Hypothèses'!$B$7+K24*'Hypothèses'!$B$8</x:f>
        <x:v>16154.671268575432</x:v>
      </x:c>
      <x:c r="N24" s="53" t="n">
        <x:f>M24/(1+'Hypothèses'!$B$9)*(1-'Hypothèses'!$B$10)</x:f>
        <x:v>11442.892148574265</x:v>
      </x:c>
      <x:c r="O24" s="53" t="n">
        <x:f>(MAX(MIN(E24-'Hypothèses'!$B$24,'Hypothèses'!$B$25-'Hypothèses'!$B$24),0)/1000*'Hypothèses'!$B$26+MAX(MIN(E24-'Hypothèses'!$B$25,'Hypothèses'!$B$27-'Hypothèses'!$B$25),0)/1000*'Hypothèses'!$B$28+MAX(E24-'Hypothèses'!$B$27,0)/1000*'Hypothèses'!$B$29)*'Hypothèses'!$B$30</x:f>
        <x:v>43.67124907206433</x:v>
      </x:c>
      <x:c r="P24" s="53" t="n">
        <x:f>IF(A24&gt;='Hypothèses'!$B$12,'Hypothèses'!$B$15,0)+L24*'Hypothèses'!$B$16</x:f>
        <x:v>145.52894422771809</x:v>
      </x:c>
      <x:c r="Q24" s="53" t="n">
        <x:f>MAX(N24*'Hypothèses'!$B$17,'Hypothèses'!$B$18)+'Acquisition'!$M$24</x:f>
        <x:v>1716.4338222861397</x:v>
      </x:c>
      <x:c r="R24" s="53" t="n">
        <x:f>'Hypothèses'!$B$22</x:f>
        <x:v>250</x:v>
      </x:c>
      <x:c r="S24" s="53" t="n">
        <x:f>'Hypothèses'!$B$19</x:f>
        <x:v>200</x:v>
      </x:c>
      <x:c r="T24" s="53" t="n">
        <x:f>'Hypothèses'!$B$20</x:f>
        <x:v>100</x:v>
      </x:c>
      <x:c r="U24" s="53" t="n">
        <x:f>'Hypothèses'!$D$44</x:f>
        <x:v>3000</x:v>
      </x:c>
      <x:c r="V24" s="53" t="n">
        <x:f>N24-SUM(O24:T24)-Z24</x:f>
        <x:v>8825.711420302589</x:v>
      </x:c>
      <x:c r="W24" s="53" t="n">
        <x:f>SUM(O24:U24)+Z24</x:f>
        <x:v>5617.180728271676</x:v>
      </x:c>
      <x:c r="X24" s="53" t="n">
        <x:f>N24-W24</x:f>
        <x:v>5825.7114203025885</x:v>
      </x:c>
      <x:c r="Y24" s="53" t="n">
        <x:f>Y23+X24</x:f>
        <x:v>51084.474887965785</x:v>
      </x:c>
      <x:c r="Z24" t="n">
        <x:f>IF(M24&gt;='Hypothèses'!$B$31*'Hypothèses'!$B$30,M24*'Hypothèses'!$B$32,0)</x:f>
        <x:v>161.54671268575433</x:v>
      </x:c>
    </x:row>
    <x:row r="25">
      <x:c r="A25" s="50" t="n">
        <x:v>22</x:v>
      </x:c>
      <x:c r="B25" s="51" t="n">
        <x:v>47027</x:v>
      </x:c>
      <x:c r="C25" s="113" t="n">
        <x:f>'Acquisition'!$P$25</x:f>
        <x:v>18478.994930872446</x:v>
      </x:c>
      <x:c r="D25" s="52" t="n">
        <x:f>SUM($C$4:C25)</x:f>
        <x:v>198068.05627095286</x:v>
      </x:c>
      <x:c r="E25" s="52" t="n">
        <x:f>C4*'Cohortes MAU'!$D$25+C5*'Cohortes MAU'!$D$24+C6*'Cohortes MAU'!$D$23+C7*'Cohortes MAU'!$D$22+C8*'Cohortes MAU'!$D$21+C9*'Cohortes MAU'!$D$20+C10*'Cohortes MAU'!$D$19+C11*'Cohortes MAU'!$D$18+C12*'Cohortes MAU'!$D$17+C13*'Cohortes MAU'!$D$16+C14*'Cohortes MAU'!$D$15+C15*'Cohortes MAU'!$D$14+C16*'Cohortes MAU'!$D$13+C17*'Cohortes MAU'!$D$12+C18*'Cohortes MAU'!$D$11+C19*'Cohortes MAU'!$D$10+C20*'Cohortes MAU'!$D$9+C21*'Cohortes MAU'!$D$8+C22*'Cohortes MAU'!$D$7+C23*'Cohortes MAU'!$D$6+C24*'Cohortes MAU'!$D$5+C25*'Cohortes MAU'!$D$4</x:f>
        <x:v>39613.61125419057</x:v>
      </x:c>
      <x:c r="F25" s="52" t="n">
        <x:f>C23*'Hypothèses'!$D$39</x:f>
        <x:v>633.7103885758726</x:v>
      </x:c>
      <x:c r="G25" s="52" t="n">
        <x:f>SUM($F$4:F25)</x:f>
        <x:v>6499.155233941275</x:v>
      </x:c>
      <x:c r="H25" s="52" t="n">
        <x:f>C22*'Hypothèses'!$D$40</x:f>
        <x:v>146.6922195777483</x:v>
      </x:c>
      <x:c r="I25" s="52" t="n">
        <x:f>G24*('Hypothèses'!$D$41/12)</x:f>
        <x:v>19.551482817884676</x:v>
      </x:c>
      <x:c r="J25" s="52" t="n">
        <x:f>(H13+J13)*'Hypothèses'!$D$42</x:f>
        <x:v>37.202781000000016</x:v>
      </x:c>
      <x:c r="K25" s="52" t="n">
        <x:f>(I13+K13)*'Hypothèses'!$D$42</x:f>
        <x:v>2.6564078800000015</x:v>
      </x:c>
      <x:c r="L25" s="52" t="n">
        <x:f>SUM(H14:K25)</x:f>
        <x:v>1354.4506351528137</x:v>
      </x:c>
      <x:c r="M25" s="53" t="n">
        <x:f>F25*'Hypothèses'!$B$6+H25*'Hypothèses'!$B$7+I25*'Hypothèses'!$B$8+J25*'Hypothèses'!$B$7+K25*'Hypothèses'!$B$8</x:f>
        <x:v>18626.817470009082</x:v>
      </x:c>
      <x:c r="N25" s="53" t="n">
        <x:f>M25/(1+'Hypothèses'!$B$9)*(1-'Hypothèses'!$B$10)</x:f>
        <x:v>13193.995707923099</x:v>
      </x:c>
      <x:c r="O25" s="53" t="n">
        <x:f>(MAX(MIN(E25-'Hypothèses'!$B$24,'Hypothèses'!$B$25-'Hypothèses'!$B$24),0)/1000*'Hypothèses'!$B$26+MAX(MIN(E25-'Hypothèses'!$B$25,'Hypothèses'!$B$27-'Hypothèses'!$B$25),0)/1000*'Hypothèses'!$B$28+MAX(E25-'Hypothèses'!$B$27,0)/1000*'Hypothèses'!$B$29)*'Hypothèses'!$B$30</x:f>
        <x:v>58.45444501676227</x:v>
      </x:c>
      <x:c r="P25" s="53" t="n">
        <x:f>IF(A25&gt;='Hypothèses'!$B$12,'Hypothèses'!$B$15,0)+L25*'Hypothèses'!$B$16</x:f>
        <x:v>160.44506351528136</x:v>
      </x:c>
      <x:c r="Q25" s="53" t="n">
        <x:f>MAX(N25*'Hypothèses'!$B$17,'Hypothèses'!$B$18)+'Acquisition'!$M$25</x:f>
        <x:v>1979.0993561884648</x:v>
      </x:c>
      <x:c r="R25" s="53" t="n">
        <x:f>'Hypothèses'!$B$22</x:f>
        <x:v>250</x:v>
      </x:c>
      <x:c r="S25" s="53" t="n">
        <x:f>'Hypothèses'!$B$19</x:f>
        <x:v>200</x:v>
      </x:c>
      <x:c r="T25" s="53" t="n">
        <x:f>'Hypothèses'!$B$20</x:f>
        <x:v>100</x:v>
      </x:c>
      <x:c r="U25" s="53" t="n">
        <x:f>'Hypothèses'!$D$44</x:f>
        <x:v>3000</x:v>
      </x:c>
      <x:c r="V25" s="53" t="n">
        <x:f>N25-SUM(O25:T25)-Z25</x:f>
        <x:v>10259.7286685025</x:v>
      </x:c>
      <x:c r="W25" s="53" t="n">
        <x:f>SUM(O25:U25)+Z25</x:f>
        <x:v>5934.267039420599</x:v>
      </x:c>
      <x:c r="X25" s="53" t="n">
        <x:f>N25-W25</x:f>
        <x:v>7259.7286685025</x:v>
      </x:c>
      <x:c r="Y25" s="53" t="n">
        <x:f>Y24+X25</x:f>
        <x:v>58344.20355646829</x:v>
      </x:c>
      <x:c r="Z25" t="n">
        <x:f>IF(M25&gt;='Hypothèses'!$B$31*'Hypothèses'!$B$30,M25*'Hypothèses'!$B$32,0)</x:f>
        <x:v>186.26817470009084</x:v>
      </x:c>
    </x:row>
    <x:row r="26">
      <x:c r="A26" s="50" t="n">
        <x:v>23</x:v>
      </x:c>
      <x:c r="B26" s="51" t="n">
        <x:v>47058</x:v>
      </x:c>
      <x:c r="C26" s="113" t="n">
        <x:f>'Acquisition'!$P$26</x:f>
        <x:v>19957.314525342244</x:v>
      </x:c>
      <x:c r="D26" s="52" t="n">
        <x:f>SUM($C$4:C26)</x:f>
        <x:v>218025.37079629512</x:v>
      </x:c>
      <x:c r="E26" s="52" t="n">
        <x:f>C4*'Cohortes MAU'!$D$26+C5*'Cohortes MAU'!$D$25+C6*'Cohortes MAU'!$D$24+C7*'Cohortes MAU'!$D$23+C8*'Cohortes MAU'!$D$22+C9*'Cohortes MAU'!$D$21+C10*'Cohortes MAU'!$D$20+C11*'Cohortes MAU'!$D$19+C12*'Cohortes MAU'!$D$18+C13*'Cohortes MAU'!$D$17+C14*'Cohortes MAU'!$D$16+C15*'Cohortes MAU'!$D$15+C16*'Cohortes MAU'!$D$14+C17*'Cohortes MAU'!$D$13+C18*'Cohortes MAU'!$D$12+C19*'Cohortes MAU'!$D$11+C20*'Cohortes MAU'!$D$10+C21*'Cohortes MAU'!$D$9+C22*'Cohortes MAU'!$D$8+C23*'Cohortes MAU'!$D$7+C24*'Cohortes MAU'!$D$6+C25*'Cohortes MAU'!$D$5+C26*'Cohortes MAU'!$D$4</x:f>
        <x:v>43605.07415925902</x:v>
      </x:c>
      <x:c r="F26" s="52" t="n">
        <x:f>C24*'Hypothèses'!$D$39</x:f>
        <x:v>684.4072196619423</x:v>
      </x:c>
      <x:c r="G26" s="52" t="n">
        <x:f>SUM($F$4:F26)</x:f>
        <x:v>7183.562453603217</x:v>
      </x:c>
      <x:c r="H26" s="52" t="n">
        <x:f>C23*'Hypothèses'!$D$40</x:f>
        <x:v>158.42759714396814</x:v>
      </x:c>
      <x:c r="I26" s="52" t="n">
        <x:f>G25*('Hypothèses'!$D$41/12)</x:f>
        <x:v>21.66385077980425</x:v>
      </x:c>
      <x:c r="J26" s="52" t="n">
        <x:f>(H14+J14)*'Hypothèses'!$D$42</x:f>
        <x:v>40.92305910000002</x:v>
      </x:c>
      <x:c r="K26" s="52" t="n">
        <x:f>(I14+K14)*'Hypothèses'!$D$42</x:f>
        <x:v>3.2020486680000015</x:v>
      </x:c>
      <x:c r="L26" s="52" t="n">
        <x:f>SUM(H15:K26)</x:f>
        <x:v>1515.631322604586</x:v>
      </x:c>
      <x:c r="M26" s="53" t="n">
        <x:f>F26*'Hypothèses'!$B$6+H26*'Hypothèses'!$B$7+I26*'Hypothèses'!$B$8+J26*'Hypothèses'!$B$7+K26*'Hypothèses'!$B$8</x:f>
        <x:v>20156.895831760437</x:v>
      </x:c>
      <x:c r="N26" s="53" t="n">
        <x:f>M26/(1+'Hypothèses'!$B$9)*(1-'Hypothèses'!$B$10)</x:f>
        <x:v>14277.801214163645</x:v>
      </x:c>
      <x:c r="O26" s="53" t="n">
        <x:f>(MAX(MIN(E26-'Hypothèses'!$B$24,'Hypothèses'!$B$25-'Hypothèses'!$B$24),0)/1000*'Hypothèses'!$B$26+MAX(MIN(E26-'Hypothèses'!$B$25,'Hypothèses'!$B$27-'Hypothèses'!$B$25),0)/1000*'Hypothèses'!$B$28+MAX(E26-'Hypothèses'!$B$27,0)/1000*'Hypothèses'!$B$29)*'Hypothèses'!$B$30</x:f>
        <x:v>74.42029663703607</x:v>
      </x:c>
      <x:c r="P26" s="53" t="n">
        <x:f>IF(A26&gt;='Hypothèses'!$B$12,'Hypothèses'!$B$15,0)+L26*'Hypothèses'!$B$16</x:f>
        <x:v>176.56313226045862</x:v>
      </x:c>
      <x:c r="Q26" s="53" t="n">
        <x:f>MAX(N26*'Hypothèses'!$B$17,'Hypothèses'!$B$18)+'Acquisition'!$M$26</x:f>
        <x:v>2141.6701821245465</x:v>
      </x:c>
      <x:c r="R26" s="53" t="n">
        <x:f>'Hypothèses'!$B$22</x:f>
        <x:v>250</x:v>
      </x:c>
      <x:c r="S26" s="53" t="n">
        <x:f>'Hypothèses'!$B$19</x:f>
        <x:v>200</x:v>
      </x:c>
      <x:c r="T26" s="53" t="n">
        <x:f>'Hypothèses'!$B$20</x:f>
        <x:v>100</x:v>
      </x:c>
      <x:c r="U26" s="53" t="n">
        <x:f>'Hypothèses'!$D$44</x:f>
        <x:v>3000</x:v>
      </x:c>
      <x:c r="V26" s="53" t="n">
        <x:f>N26-SUM(O26:T26)-Z26</x:f>
        <x:v>11133.578644823998</x:v>
      </x:c>
      <x:c r="W26" s="53" t="n">
        <x:f>SUM(O26:U26)+Z26</x:f>
        <x:v>6144.222569339646</x:v>
      </x:c>
      <x:c r="X26" s="53" t="n">
        <x:f>N26-W26</x:f>
        <x:v>8133.578644823999</x:v>
      </x:c>
      <x:c r="Y26" s="53" t="n">
        <x:f>Y25+X26</x:f>
        <x:v>66477.78220129228</x:v>
      </x:c>
      <x:c r="Z26" t="n">
        <x:f>IF(M26&gt;='Hypothèses'!$B$31*'Hypothèses'!$B$30,M26*'Hypothèses'!$B$32,0)</x:f>
        <x:v>201.56895831760437</x:v>
      </x:c>
    </x:row>
    <x:row r="27">
      <x:c r="A27" s="50" t="n">
        <x:v>24</x:v>
      </x:c>
      <x:c r="B27" s="51" t="n">
        <x:v>47088</x:v>
      </x:c>
      <x:c r="C27" s="113" t="n">
        <x:f>'Acquisition'!$P$27</x:f>
        <x:v>21553.899687369627</x:v>
      </x:c>
      <x:c r="D27" s="52" t="n">
        <x:f>SUM($C$4:C27)</x:f>
        <x:v>239579.27048366473</x:v>
      </x:c>
      <x:c r="E27" s="52" t="n">
        <x:f>C4*'Cohortes MAU'!$D$27+C5*'Cohortes MAU'!$D$26+C6*'Cohortes MAU'!$D$25+C7*'Cohortes MAU'!$D$24+C8*'Cohortes MAU'!$D$23+C9*'Cohortes MAU'!$D$22+C10*'Cohortes MAU'!$D$21+C11*'Cohortes MAU'!$D$20+C12*'Cohortes MAU'!$D$19+C13*'Cohortes MAU'!$D$18+C14*'Cohortes MAU'!$D$17+C15*'Cohortes MAU'!$D$16+C16*'Cohortes MAU'!$D$15+C17*'Cohortes MAU'!$D$14+C18*'Cohortes MAU'!$D$13+C19*'Cohortes MAU'!$D$12+C20*'Cohortes MAU'!$D$11+C21*'Cohortes MAU'!$D$10+C22*'Cohortes MAU'!$D$9+C23*'Cohortes MAU'!$D$8+C24*'Cohortes MAU'!$D$7+C25*'Cohortes MAU'!$D$6+C26*'Cohortes MAU'!$D$5+C27*'Cohortes MAU'!$D$4</x:f>
        <x:v>47915.854096732946</x:v>
      </x:c>
      <x:c r="F27" s="52" t="n">
        <x:f>C25*'Hypothèses'!$D$39</x:f>
        <x:v>739.1597972348978</x:v>
      </x:c>
      <x:c r="G27" s="52" t="n">
        <x:f>SUM($F$4:F27)</x:f>
        <x:v>7922.7222508381155</x:v>
      </x:c>
      <x:c r="H27" s="52" t="n">
        <x:f>C24*'Hypothèses'!$D$40</x:f>
        <x:v>171.1018049154856</x:v>
      </x:c>
      <x:c r="I27" s="52" t="n">
        <x:f>G26*('Hypothèses'!$D$41/12)</x:f>
        <x:v>23.945208178677394</x:v>
      </x:c>
      <x:c r="J27" s="52" t="n">
        <x:f>(H15+J15)*'Hypothèses'!$D$42</x:f>
        <x:v>45.015365010000025</x:v>
      </x:c>
      <x:c r="K27" s="52" t="n">
        <x:f>(I15+K15)*'Hypothèses'!$D$42</x:f>
        <x:v>3.802253534800002</x:v>
      </x:c>
      <x:c r="L27" s="52" t="n">
        <x:f>SUM(H16:K27)</x:f>
        <x:v>1689.756499179549</x:v>
      </x:c>
      <x:c r="M27" s="53" t="n">
        <x:f>F27*'Hypothèses'!$B$6+H27*'Hypothèses'!$B$7+I27*'Hypothèses'!$B$8+J27*'Hypothèses'!$B$7+K27*'Hypothèses'!$B$8</x:f>
        <x:v>21811.830032443337</x:v>
      </x:c>
      <x:c r="N27" s="53" t="n">
        <x:f>M27/(1+'Hypothèses'!$B$9)*(1-'Hypothèses'!$B$10)</x:f>
        <x:v>15450.046272980697</x:v>
      </x:c>
      <x:c r="O27" s="53" t="n">
        <x:f>(MAX(MIN(E27-'Hypothèses'!$B$24,'Hypothèses'!$B$25-'Hypothèses'!$B$24),0)/1000*'Hypothèses'!$B$26+MAX(MIN(E27-'Hypothèses'!$B$25,'Hypothèses'!$B$27-'Hypothèses'!$B$25),0)/1000*'Hypothèses'!$B$28+MAX(E27-'Hypothèses'!$B$27,0)/1000*'Hypothèses'!$B$29)*'Hypothèses'!$B$30</x:f>
        <x:v>91.66341638693179</x:v>
      </x:c>
      <x:c r="P27" s="53" t="n">
        <x:f>IF(A27&gt;='Hypothèses'!$B$12,'Hypothèses'!$B$15,0)+L27*'Hypothèses'!$B$16</x:f>
        <x:v>193.9756499179549</x:v>
      </x:c>
      <x:c r="Q27" s="53" t="n">
        <x:f>MAX(N27*'Hypothèses'!$B$17,'Hypothèses'!$B$18)+'Acquisition'!$M$27</x:f>
        <x:v>2317.5069409471043</x:v>
      </x:c>
      <x:c r="R27" s="53" t="n">
        <x:f>'Hypothèses'!$B$22</x:f>
        <x:v>250</x:v>
      </x:c>
      <x:c r="S27" s="53" t="n">
        <x:f>'Hypothèses'!$B$19</x:f>
        <x:v>200</x:v>
      </x:c>
      <x:c r="T27" s="53" t="n">
        <x:f>'Hypothèses'!$B$20</x:f>
        <x:v>100</x:v>
      </x:c>
      <x:c r="U27" s="53" t="n">
        <x:f>'Hypothèses'!$D$44</x:f>
        <x:v>3000</x:v>
      </x:c>
      <x:c r="V27" s="53" t="n">
        <x:f>N27-SUM(O27:T27)-Z27</x:f>
        <x:v>12078.781965404272</x:v>
      </x:c>
      <x:c r="W27" s="53" t="n">
        <x:f>SUM(O27:U27)+Z27</x:f>
        <x:v>6371.2643075764245</x:v>
      </x:c>
      <x:c r="X27" s="53" t="n">
        <x:f>N27-W27</x:f>
        <x:v>9078.781965404272</x:v>
      </x:c>
      <x:c r="Y27" s="53" t="n">
        <x:f>Y26+X27</x:f>
        <x:v>75556.56416669655</x:v>
      </x:c>
      <x:c r="Z27" t="n">
        <x:f>IF(M27&gt;='Hypothèses'!$B$31*'Hypothèses'!$B$30,M27*'Hypothèses'!$B$32,0)</x:f>
        <x:v>218.11830032443336</x:v>
      </x:c>
    </x:row>
    <x:row r="28">
      <x:c r="A28" s="50" t="n">
        <x:v>25</x:v>
      </x:c>
      <x:c r="B28" s="51" t="n">
        <x:v>47119</x:v>
      </x:c>
      <x:c r="C28" s="113" t="n">
        <x:f>'Acquisition'!$P$28</x:f>
        <x:v>22847.133668611805</x:v>
      </x:c>
      <x:c r="D28" s="52" t="n">
        <x:f>SUM($C$4:C28)</x:f>
        <x:v>262426.4041522765</x:v>
      </x:c>
      <x:c r="E28" s="52" t="n">
        <x:f>C4*'Cohortes MAU'!$D$28+C5*'Cohortes MAU'!$D$27+C6*'Cohortes MAU'!$D$26+C7*'Cohortes MAU'!$D$25+C8*'Cohortes MAU'!$D$24+C9*'Cohortes MAU'!$D$23+C10*'Cohortes MAU'!$D$22+C11*'Cohortes MAU'!$D$21+C12*'Cohortes MAU'!$D$20+C13*'Cohortes MAU'!$D$19+C14*'Cohortes MAU'!$D$18+C15*'Cohortes MAU'!$D$17+C16*'Cohortes MAU'!$D$16+C17*'Cohortes MAU'!$D$15+C18*'Cohortes MAU'!$D$14+C19*'Cohortes MAU'!$D$13+C20*'Cohortes MAU'!$D$12+C21*'Cohortes MAU'!$D$11+C22*'Cohortes MAU'!$D$10+C23*'Cohortes MAU'!$D$9+C24*'Cohortes MAU'!$D$8+C25*'Cohortes MAU'!$D$7+C26*'Cohortes MAU'!$D$6+C27*'Cohortes MAU'!$D$5+C28*'Cohortes MAU'!$D$4</x:f>
        <x:v>52485.280830455304</x:v>
      </x:c>
      <x:c r="F28" s="52" t="n">
        <x:f>C26*'Hypothèses'!$D$39</x:f>
        <x:v>798.2925810136898</x:v>
      </x:c>
      <x:c r="G28" s="52" t="n">
        <x:f>SUM($F$4:F28)</x:f>
        <x:v>8721.014831851806</x:v>
      </x:c>
      <x:c r="H28" s="52" t="n">
        <x:f>C25*'Hypothèses'!$D$40</x:f>
        <x:v>184.78994930872446</x:v>
      </x:c>
      <x:c r="I28" s="52" t="n">
        <x:f>G27*('Hypothèses'!$D$41/12)</x:f>
        <x:v>26.409074169460386</x:v>
      </x:c>
      <x:c r="J28" s="52" t="n">
        <x:f>(H16+J16)*'Hypothèses'!$D$42</x:f>
        <x:v>49.51690151100004</x:v>
      </x:c>
      <x:c r="K28" s="52" t="n">
        <x:f>(I16+K16)*'Hypothèses'!$D$42</x:f>
        <x:v>4.462478888280002</x:v>
      </x:c>
      <x:c r="L28" s="52" t="n">
        <x:f>SUM(H17:K28)</x:f>
        <x:v>1877.8215024866138</x:v>
      </x:c>
      <x:c r="M28" s="53" t="n">
        <x:f>F28*'Hypothèses'!$B$6+H28*'Hypothèses'!$B$7+I28*'Hypothèses'!$B$8+J28*'Hypothèses'!$B$7+K28*'Hypothèses'!$B$8</x:f>
        <x:v>23601.853496171425</x:v>
      </x:c>
      <x:c r="N28" s="53" t="n">
        <x:f>M28/(1+'Hypothèses'!$B$9)*(1-'Hypothèses'!$B$10)</x:f>
        <x:v>16717.979559788095</x:v>
      </x:c>
      <x:c r="O28" s="53" t="n">
        <x:f>(MAX(MIN(E28-'Hypothèses'!$B$24,'Hypothèses'!$B$25-'Hypothèses'!$B$24),0)/1000*'Hypothèses'!$B$26+MAX(MIN(E28-'Hypothèses'!$B$25,'Hypothèses'!$B$27-'Hypothèses'!$B$25),0)/1000*'Hypothèses'!$B$28+MAX(E28-'Hypothèses'!$B$27,0)/1000*'Hypothèses'!$B$29)*'Hypothèses'!$B$30</x:f>
        <x:v>109.94112332182121</x:v>
      </x:c>
      <x:c r="P28" s="53" t="n">
        <x:f>IF(A28&gt;='Hypothèses'!$B$12,'Hypothèses'!$B$15,0)+L28*'Hypothèses'!$B$16</x:f>
        <x:v>212.7821502486614</x:v>
      </x:c>
      <x:c r="Q28" s="53" t="n">
        <x:f>MAX(N28*'Hypothèses'!$B$17,'Hypothèses'!$B$18)+'Acquisition'!$M$28</x:f>
        <x:v>2507.696933968214</x:v>
      </x:c>
      <x:c r="R28" s="53" t="n">
        <x:f>'Hypothèses'!$B$23</x:f>
        <x:v>400</x:v>
      </x:c>
      <x:c r="S28" s="53" t="n">
        <x:f>'Hypothèses'!$B$19</x:f>
        <x:v>200</x:v>
      </x:c>
      <x:c r="T28" s="53" t="n">
        <x:f>'Hypothèses'!$B$20</x:f>
        <x:v>100</x:v>
      </x:c>
      <x:c r="U28" s="53" t="n">
        <x:f>'Hypothèses'!$D$45</x:f>
        <x:v>5000</x:v>
      </x:c>
      <x:c r="V28" s="53" t="n">
        <x:f>N28-SUM(O28:T28)-Z28</x:f>
        <x:v>12951.540817287683</x:v>
      </x:c>
      <x:c r="W28" s="53" t="n">
        <x:f>SUM(O28:U28)+Z28</x:f>
        <x:v>8766.438742500412</x:v>
      </x:c>
      <x:c r="X28" s="53" t="n">
        <x:f>N28-W28</x:f>
        <x:v>7951.540817287683</x:v>
      </x:c>
      <x:c r="Y28" s="53" t="n">
        <x:f>Y27+X28</x:f>
        <x:v>83508.10498398423</x:v>
      </x:c>
      <x:c r="Z28" t="n">
        <x:f>IF(M28&gt;='Hypothèses'!$B$31*'Hypothèses'!$B$30,M28*'Hypothèses'!$B$32,0)</x:f>
        <x:v>236.01853496171427</x:v>
      </x:c>
    </x:row>
    <x:row r="29">
      <x:c r="A29" s="50" t="n">
        <x:v>26</x:v>
      </x:c>
      <x:c r="B29" s="51" t="n">
        <x:v>47150</x:v>
      </x:c>
      <x:c r="C29" s="113" t="n">
        <x:f>'Acquisition'!$P$29</x:f>
        <x:v>24217.961688728516</x:v>
      </x:c>
      <x:c r="D29" s="52" t="n">
        <x:f>SUM($C$4:C29)</x:f>
        <x:v>286644.36584100506</x:v>
      </x:c>
      <x:c r="E29" s="52" t="n">
        <x:f>C4*'Cohortes MAU'!$D$29+C5*'Cohortes MAU'!$D$28+C6*'Cohortes MAU'!$D$27+C7*'Cohortes MAU'!$D$26+C8*'Cohortes MAU'!$D$25+C9*'Cohortes MAU'!$D$24+C10*'Cohortes MAU'!$D$23+C11*'Cohortes MAU'!$D$22+C12*'Cohortes MAU'!$D$21+C13*'Cohortes MAU'!$D$20+C14*'Cohortes MAU'!$D$19+C15*'Cohortes MAU'!$D$18+C16*'Cohortes MAU'!$D$17+C17*'Cohortes MAU'!$D$16+C18*'Cohortes MAU'!$D$15+C19*'Cohortes MAU'!$D$14+C20*'Cohortes MAU'!$D$13+C21*'Cohortes MAU'!$D$12+C22*'Cohortes MAU'!$D$11+C23*'Cohortes MAU'!$D$10+C24*'Cohortes MAU'!$D$9+C25*'Cohortes MAU'!$D$8+C26*'Cohortes MAU'!$D$7+C27*'Cohortes MAU'!$D$6+C28*'Cohortes MAU'!$D$5+C29*'Cohortes MAU'!$D$4</x:f>
        <x:v>57328.873168201004</x:v>
      </x:c>
      <x:c r="F29" s="52" t="n">
        <x:f>C27*'Hypothèses'!$D$39</x:f>
        <x:v>862.1559874947851</x:v>
      </x:c>
      <x:c r="G29" s="52" t="n">
        <x:f>SUM($F$4:F29)</x:f>
        <x:v>9583.170819346591</x:v>
      </x:c>
      <x:c r="H29" s="52" t="n">
        <x:f>C26*'Hypothèses'!$D$40</x:f>
        <x:v>199.57314525342244</x:v>
      </x:c>
      <x:c r="I29" s="52" t="n">
        <x:f>G28*('Hypothèses'!$D$41/12)</x:f>
        <x:v>29.070049439506022</x:v>
      </x:c>
      <x:c r="J29" s="52" t="n">
        <x:f>(H17+J17)*'Hypothèses'!$D$42</x:f>
        <x:v>54.468591662100046</x:v>
      </x:c>
      <x:c r="K29" s="52" t="n">
        <x:f>(I17+K17)*'Hypothèses'!$D$42</x:f>
        <x:v>5.188726777108003</x:v>
      </x:c>
      <x:c r="L29" s="52" t="n">
        <x:f>SUM(H18:K29)</x:f>
        <x:v>2080.8972749913105</x:v>
      </x:c>
      <x:c r="M29" s="53" t="n">
        <x:f>F29*'Hypothèses'!$B$6+H29*'Hypothèses'!$B$7+I29*'Hypothèses'!$B$8+J29*'Hypothèses'!$B$7+K29*'Hypothèses'!$B$8</x:f>
        <x:v>25538.042816687386</x:v>
      </x:c>
      <x:c r="N29" s="53" t="n">
        <x:f>M29/(1+'Hypothèses'!$B$9)*(1-'Hypothèses'!$B$10)</x:f>
        <x:v>18089.446995153565</x:v>
      </x:c>
      <x:c r="O29" s="53" t="n">
        <x:f>(MAX(MIN(E29-'Hypothèses'!$B$24,'Hypothèses'!$B$25-'Hypothèses'!$B$24),0)/1000*'Hypothèses'!$B$26+MAX(MIN(E29-'Hypothèses'!$B$25,'Hypothèses'!$B$27-'Hypothèses'!$B$25),0)/1000*'Hypothèses'!$B$28+MAX(E29-'Hypothèses'!$B$27,0)/1000*'Hypothèses'!$B$29)*'Hypothèses'!$B$30</x:f>
        <x:v>129.31549267280403</x:v>
      </x:c>
      <x:c r="P29" s="53" t="n">
        <x:f>IF(A29&gt;='Hypothèses'!$B$12,'Hypothèses'!$B$15,0)+L29*'Hypothèses'!$B$16</x:f>
        <x:v>233.08972749913107</x:v>
      </x:c>
      <x:c r="Q29" s="53" t="n">
        <x:f>MAX(N29*'Hypothèses'!$B$17,'Hypothèses'!$B$18)+'Acquisition'!$M$29</x:f>
        <x:v>2713.4170492730345</x:v>
      </x:c>
      <x:c r="R29" s="53" t="n">
        <x:f>'Hypothèses'!$B$23</x:f>
        <x:v>400</x:v>
      </x:c>
      <x:c r="S29" s="53" t="n">
        <x:f>'Hypothèses'!$B$19</x:f>
        <x:v>200</x:v>
      </x:c>
      <x:c r="T29" s="53" t="n">
        <x:f>'Hypothèses'!$B$20</x:f>
        <x:v>100</x:v>
      </x:c>
      <x:c r="U29" s="53" t="n">
        <x:f>'Hypothèses'!$D$45</x:f>
        <x:v>5000</x:v>
      </x:c>
      <x:c r="V29" s="53" t="n">
        <x:f>N29-SUM(O29:T29)-Z29</x:f>
        <x:v>14058.244297541722</x:v>
      </x:c>
      <x:c r="W29" s="53" t="n">
        <x:f>SUM(O29:U29)+Z29</x:f>
        <x:v>9031.202697611843</x:v>
      </x:c>
      <x:c r="X29" s="53" t="n">
        <x:f>N29-W29</x:f>
        <x:v>9058.244297541722</x:v>
      </x:c>
      <x:c r="Y29" s="53" t="n">
        <x:f>Y28+X29</x:f>
        <x:v>92566.34928152595</x:v>
      </x:c>
      <x:c r="Z29" t="n">
        <x:f>IF(M29&gt;='Hypothèses'!$B$31*'Hypothèses'!$B$30,M29*'Hypothèses'!$B$32,0)</x:f>
        <x:v>255.38042816687386</x:v>
      </x:c>
    </x:row>
    <x:row r="30">
      <x:c r="A30" s="50" t="n">
        <x:v>27</x:v>
      </x:c>
      <x:c r="B30" s="51" t="n">
        <x:v>47178</x:v>
      </x:c>
      <x:c r="C30" s="113" t="n">
        <x:f>'Acquisition'!$P$30</x:f>
        <x:v>25671.03939005223</x:v>
      </x:c>
      <x:c r="D30" s="52" t="n">
        <x:f>SUM($C$4:C30)</x:f>
        <x:v>312315.40523105726</x:v>
      </x:c>
      <x:c r="E30" s="52" t="n">
        <x:f>C4*'Cohortes MAU'!$D$30+C5*'Cohortes MAU'!$D$29+C6*'Cohortes MAU'!$D$28+C7*'Cohortes MAU'!$D$27+C8*'Cohortes MAU'!$D$26+C9*'Cohortes MAU'!$D$25+C10*'Cohortes MAU'!$D$24+C11*'Cohortes MAU'!$D$23+C12*'Cohortes MAU'!$D$22+C13*'Cohortes MAU'!$D$21+C14*'Cohortes MAU'!$D$20+C15*'Cohortes MAU'!$D$19+C16*'Cohortes MAU'!$D$18+C17*'Cohortes MAU'!$D$17+C18*'Cohortes MAU'!$D$16+C19*'Cohortes MAU'!$D$15+C20*'Cohortes MAU'!$D$14+C21*'Cohortes MAU'!$D$13+C22*'Cohortes MAU'!$D$12+C23*'Cohortes MAU'!$D$11+C24*'Cohortes MAU'!$D$10+C25*'Cohortes MAU'!$D$9+C26*'Cohortes MAU'!$D$8+C27*'Cohortes MAU'!$D$7+C28*'Cohortes MAU'!$D$6+C29*'Cohortes MAU'!$D$5+C30*'Cohortes MAU'!$D$4</x:f>
        <x:v>62463.081046211446</x:v>
      </x:c>
      <x:c r="F30" s="52" t="n">
        <x:f>C28*'Hypothèses'!$D$39</x:f>
        <x:v>913.8853467444723</x:v>
      </x:c>
      <x:c r="G30" s="52" t="n">
        <x:f>SUM($F$4:F30)</x:f>
        <x:v>10497.056166091063</x:v>
      </x:c>
      <x:c r="H30" s="52" t="n">
        <x:f>C27*'Hypothèses'!$D$40</x:f>
        <x:v>215.53899687369628</x:v>
      </x:c>
      <x:c r="I30" s="52" t="n">
        <x:f>G29*('Hypothèses'!$D$41/12)</x:f>
        <x:v>31.943902731155305</x:v>
      </x:c>
      <x:c r="J30" s="52" t="n">
        <x:f>(H18+J18)*'Hypothèses'!$D$42</x:f>
        <x:v>59.91545082831004</x:v>
      </x:c>
      <x:c r="K30" s="52" t="n">
        <x:f>(I18+K18)*'Hypothèses'!$D$42</x:f>
        <x:v>5.987599454818803</x:v>
      </x:c>
      <x:c r="L30" s="52" t="n">
        <x:f>SUM(H19:K30)</x:f>
        <x:v>2300.136010189107</x:v>
      </x:c>
      <x:c r="M30" s="53" t="n">
        <x:f>F30*'Hypothèses'!$B$6+H30*'Hypothèses'!$B$7+I30*'Hypothèses'!$B$8+J30*'Hypothèses'!$B$7+K30*'Hypothèses'!$B$8</x:f>
        <x:v>27287.69769670279</x:v>
      </x:c>
      <x:c r="N30" s="53" t="n">
        <x:f>M30/(1+'Hypothèses'!$B$9)*(1-'Hypothèses'!$B$10)</x:f>
        <x:v>19328.785868497813</x:v>
      </x:c>
      <x:c r="O30" s="53" t="n">
        <x:f>(MAX(MIN(E30-'Hypothèses'!$B$24,'Hypothèses'!$B$25-'Hypothèses'!$B$24),0)/1000*'Hypothèses'!$B$26+MAX(MIN(E30-'Hypothèses'!$B$25,'Hypothèses'!$B$27-'Hypothèses'!$B$25),0)/1000*'Hypothèses'!$B$28+MAX(E30-'Hypothèses'!$B$27,0)/1000*'Hypothèses'!$B$29)*'Hypothèses'!$B$30</x:f>
        <x:v>149.85232418484577</x:v>
      </x:c>
      <x:c r="P30" s="53" t="n">
        <x:f>IF(A30&gt;='Hypothèses'!$B$12,'Hypothèses'!$B$15,0)+L30*'Hypothèses'!$B$16</x:f>
        <x:v>255.0136010189107</x:v>
      </x:c>
      <x:c r="Q30" s="53" t="n">
        <x:f>MAX(N30*'Hypothèses'!$B$17,'Hypothèses'!$B$18)+'Acquisition'!$M$30</x:f>
        <x:v>2899.317880274672</x:v>
      </x:c>
      <x:c r="R30" s="53" t="n">
        <x:f>'Hypothèses'!$B$23</x:f>
        <x:v>400</x:v>
      </x:c>
      <x:c r="S30" s="53" t="n">
        <x:f>'Hypothèses'!$B$19</x:f>
        <x:v>200</x:v>
      </x:c>
      <x:c r="T30" s="53" t="n">
        <x:f>'Hypothèses'!$B$20</x:f>
        <x:v>100</x:v>
      </x:c>
      <x:c r="U30" s="53" t="n">
        <x:f>'Hypothèses'!$D$45</x:f>
        <x:v>5000</x:v>
      </x:c>
      <x:c r="V30" s="53" t="n">
        <x:f>N30-SUM(O30:T30)-Z30</x:f>
        <x:v>15051.725086052358</x:v>
      </x:c>
      <x:c r="W30" s="53" t="n">
        <x:f>SUM(O30:U30)+Z30</x:f>
        <x:v>9277.060782445455</x:v>
      </x:c>
      <x:c r="X30" s="53" t="n">
        <x:f>N30-W30</x:f>
        <x:v>10051.725086052358</x:v>
      </x:c>
      <x:c r="Y30" s="53" t="n">
        <x:f>Y29+X30</x:f>
        <x:v>102618.07436757832</x:v>
      </x:c>
      <x:c r="Z30" t="n">
        <x:f>IF(M30&gt;='Hypothèses'!$B$31*'Hypothèses'!$B$30,M30*'Hypothèses'!$B$32,0)</x:f>
        <x:v>272.87697696702793</x:v>
      </x:c>
    </x:row>
    <x:row r="31">
      <x:c r="A31" s="50" t="n">
        <x:v>28</x:v>
      </x:c>
      <x:c r="B31" s="51" t="n">
        <x:v>47209</x:v>
      </x:c>
      <x:c r="C31" s="113" t="n">
        <x:f>'Acquisition'!$P$31</x:f>
        <x:v>27211.301753455362</x:v>
      </x:c>
      <x:c r="D31" s="52" t="n">
        <x:f>SUM($C$4:C31)</x:f>
        <x:v>339526.7069845126</x:v>
      </x:c>
      <x:c r="E31" s="52" t="n">
        <x:f>C4*'Cohortes MAU'!$D$31+C5*'Cohortes MAU'!$D$30+C6*'Cohortes MAU'!$D$29+C7*'Cohortes MAU'!$D$28+C8*'Cohortes MAU'!$D$27+C9*'Cohortes MAU'!$D$26+C10*'Cohortes MAU'!$D$25+C11*'Cohortes MAU'!$D$24+C12*'Cohortes MAU'!$D$23+C13*'Cohortes MAU'!$D$22+C14*'Cohortes MAU'!$D$21+C15*'Cohortes MAU'!$D$20+C16*'Cohortes MAU'!$D$19+C17*'Cohortes MAU'!$D$18+C18*'Cohortes MAU'!$D$17+C19*'Cohortes MAU'!$D$16+C20*'Cohortes MAU'!$D$15+C21*'Cohortes MAU'!$D$14+C22*'Cohortes MAU'!$D$13+C23*'Cohortes MAU'!$D$12+C24*'Cohortes MAU'!$D$11+C25*'Cohortes MAU'!$D$10+C26*'Cohortes MAU'!$D$9+C27*'Cohortes MAU'!$D$8+C28*'Cohortes MAU'!$D$7+C29*'Cohortes MAU'!$D$6+C30*'Cohortes MAU'!$D$5+C31*'Cohortes MAU'!$D$4</x:f>
        <x:v>67905.34139690251</x:v>
      </x:c>
      <x:c r="F31" s="52" t="n">
        <x:f>C29*'Hypothèses'!$D$39</x:f>
        <x:v>968.7184675491407</x:v>
      </x:c>
      <x:c r="G31" s="52" t="n">
        <x:f>SUM($F$4:F31)</x:f>
        <x:v>11465.774633640203</x:v>
      </x:c>
      <x:c r="H31" s="52" t="n">
        <x:f>C28*'Hypothèses'!$D$40</x:f>
        <x:v>228.47133668611806</x:v>
      </x:c>
      <x:c r="I31" s="52" t="n">
        <x:f>G30*('Hypothèses'!$D$41/12)</x:f>
        <x:v>34.99018722030355</x:v>
      </x:c>
      <x:c r="J31" s="52" t="n">
        <x:f>(H19+J19)*'Hypothèses'!$D$42</x:f>
        <x:v>64.70868689457484</x:v>
      </x:c>
      <x:c r="K31" s="52" t="n">
        <x:f>(I19+K19)*'Hypothèses'!$D$42</x:f>
        <x:v>6.850381946746468</x:v>
      </x:c>
      <x:c r="L31" s="52" t="n">
        <x:f>SUM(H20:K31)</x:f>
        <x:v>2532.929361734962</x:v>
      </x:c>
      <x:c r="M31" s="53" t="n">
        <x:f>F31*'Hypothèses'!$B$6+H31*'Hypothèses'!$B$7+I31*'Hypothèses'!$B$8+J31*'Hypothèses'!$B$7+K31*'Hypothèses'!$B$8</x:f>
        <x:v>28993.54405114163</x:v>
      </x:c>
      <x:c r="N31" s="53" t="n">
        <x:f>M31/(1+'Hypothèses'!$B$9)*(1-'Hypothèses'!$B$10)</x:f>
        <x:v>20537.09370289199</x:v>
      </x:c>
      <x:c r="O31" s="53" t="n">
        <x:f>(MAX(MIN(E31-'Hypothèses'!$B$24,'Hypothèses'!$B$25-'Hypothèses'!$B$24),0)/1000*'Hypothèses'!$B$26+MAX(MIN(E31-'Hypothèses'!$B$25,'Hypothèses'!$B$27-'Hypothèses'!$B$25),0)/1000*'Hypothèses'!$B$28+MAX(E31-'Hypothèses'!$B$27,0)/1000*'Hypothèses'!$B$29)*'Hypothèses'!$B$30</x:f>
        <x:v>171.62136558761006</x:v>
      </x:c>
      <x:c r="P31" s="53" t="n">
        <x:f>IF(A31&gt;='Hypothèses'!$B$12,'Hypothèses'!$B$15,0)+L31*'Hypothèses'!$B$16</x:f>
        <x:v>278.29293617349623</x:v>
      </x:c>
      <x:c r="Q31" s="53" t="n">
        <x:f>MAX(N31*'Hypothèses'!$B$17,'Hypothèses'!$B$18)+'Acquisition'!$M$31</x:f>
        <x:v>3080.5640554337983</x:v>
      </x:c>
      <x:c r="R31" s="53" t="n">
        <x:f>'Hypothèses'!$B$23</x:f>
        <x:v>400</x:v>
      </x:c>
      <x:c r="S31" s="53" t="n">
        <x:f>'Hypothèses'!$B$19</x:f>
        <x:v>200</x:v>
      </x:c>
      <x:c r="T31" s="53" t="n">
        <x:f>'Hypothèses'!$B$20</x:f>
        <x:v>100</x:v>
      </x:c>
      <x:c r="U31" s="53" t="n">
        <x:f>'Hypothèses'!$D$45</x:f>
        <x:v>5000</x:v>
      </x:c>
      <x:c r="V31" s="53" t="n">
        <x:f>N31-SUM(O31:T31)-Z31</x:f>
        <x:v>16016.67990518567</x:v>
      </x:c>
      <x:c r="W31" s="53" t="n">
        <x:f>SUM(O31:U31)+Z31</x:f>
        <x:v>9520.41379770632</x:v>
      </x:c>
      <x:c r="X31" s="53" t="n">
        <x:f>N31-W31</x:f>
        <x:v>11016.67990518567</x:v>
      </x:c>
      <x:c r="Y31" s="53" t="n">
        <x:f>Y30+X31</x:f>
        <x:v>113634.75427276398</x:v>
      </x:c>
      <x:c r="Z31" t="n">
        <x:f>IF(M31&gt;='Hypothèses'!$B$31*'Hypothèses'!$B$30,M31*'Hypothèses'!$B$32,0)</x:f>
        <x:v>289.9354405114163</x:v>
      </x:c>
    </x:row>
    <x:row r="32">
      <x:c r="A32" s="50" t="n">
        <x:v>29</x:v>
      </x:c>
      <x:c r="B32" s="51" t="n">
        <x:v>47239</x:v>
      </x:c>
      <x:c r="C32" s="113" t="n">
        <x:f>'Acquisition'!$P$32</x:f>
        <x:v>28843.979858662686</x:v>
      </x:c>
      <x:c r="D32" s="52" t="n">
        <x:f>SUM($C$4:C32)</x:f>
        <x:v>368370.6868431753</x:v>
      </x:c>
      <x:c r="E32" s="52" t="n">
        <x:f>C4*'Cohortes MAU'!$D$32+C5*'Cohortes MAU'!$D$31+C6*'Cohortes MAU'!$D$30+C7*'Cohortes MAU'!$D$29+C8*'Cohortes MAU'!$D$28+C9*'Cohortes MAU'!$D$27+C10*'Cohortes MAU'!$D$26+C11*'Cohortes MAU'!$D$25+C12*'Cohortes MAU'!$D$24+C13*'Cohortes MAU'!$D$23+C14*'Cohortes MAU'!$D$22+C15*'Cohortes MAU'!$D$21+C16*'Cohortes MAU'!$D$20+C17*'Cohortes MAU'!$D$19+C18*'Cohortes MAU'!$D$18+C19*'Cohortes MAU'!$D$17+C20*'Cohortes MAU'!$D$16+C21*'Cohortes MAU'!$D$15+C22*'Cohortes MAU'!$D$14+C23*'Cohortes MAU'!$D$13+C24*'Cohortes MAU'!$D$12+C25*'Cohortes MAU'!$D$11+C26*'Cohortes MAU'!$D$10+C27*'Cohortes MAU'!$D$9+C28*'Cohortes MAU'!$D$8+C29*'Cohortes MAU'!$D$7+C30*'Cohortes MAU'!$D$6+C31*'Cohortes MAU'!$D$5+C32*'Cohortes MAU'!$D$4</x:f>
        <x:v>73674.13736863506</x:v>
      </x:c>
      <x:c r="F32" s="52" t="n">
        <x:f>C30*'Hypothèses'!$D$39</x:f>
        <x:v>1026.841575602089</x:v>
      </x:c>
      <x:c r="G32" s="52" t="n">
        <x:f>SUM($F$4:F32)</x:f>
        <x:v>12492.616209242293</x:v>
      </x:c>
      <x:c r="H32" s="52" t="n">
        <x:f>C29*'Hypothèses'!$D$40</x:f>
        <x:v>242.17961688728516</x:v>
      </x:c>
      <x:c r="I32" s="52" t="n">
        <x:f>G31*('Hypothèses'!$D$41/12)</x:f>
        <x:v>38.21924877880068</x:v>
      </x:c>
      <x:c r="J32" s="52" t="n">
        <x:f>(H20+J20)*'Hypothèses'!$D$42</x:f>
        <x:v>69.88538184614083</x:v>
      </x:c>
      <x:c r="K32" s="52" t="n">
        <x:f>(I20+K20)*'Hypothèses'!$D$42</x:f>
        <x:v>7.782187038028345</x:v>
      </x:c>
      <x:c r="L32" s="52" t="n">
        <x:f>SUM(H21:K32)</x:f>
        <x:v>2780.0421264506895</x:v>
      </x:c>
      <x:c r="M32" s="53" t="n">
        <x:f>F32*'Hypothèses'!$B$6+H32*'Hypothèses'!$B$7+I32*'Hypothèses'!$B$8+J32*'Hypothèses'!$B$7+K32*'Hypothèses'!$B$8</x:f>
        <x:v>30804.961110279615</x:v>
      </x:c>
      <x:c r="N32" s="53" t="n">
        <x:f>M32/(1+'Hypothèses'!$B$9)*(1-'Hypothèses'!$B$10)</x:f>
        <x:v>21820.180786448058</x:v>
      </x:c>
      <x:c r="O32" s="53" t="n">
        <x:f>(MAX(MIN(E32-'Hypothèses'!$B$24,'Hypothèses'!$B$25-'Hypothèses'!$B$24),0)/1000*'Hypothèses'!$B$26+MAX(MIN(E32-'Hypothèses'!$B$25,'Hypothèses'!$B$27-'Hypothèses'!$B$25),0)/1000*'Hypothèses'!$B$28+MAX(E32-'Hypothèses'!$B$27,0)/1000*'Hypothèses'!$B$29)*'Hypothèses'!$B$30</x:f>
        <x:v>194.69654947454023</x:v>
      </x:c>
      <x:c r="P32" s="53" t="n">
        <x:f>IF(A32&gt;='Hypothèses'!$B$12,'Hypothèses'!$B$15,0)+L32*'Hypothèses'!$B$16</x:f>
        <x:v>303.00421264506895</x:v>
      </x:c>
      <x:c r="Q32" s="53" t="n">
        <x:f>MAX(N32*'Hypothèses'!$B$17,'Hypothèses'!$B$18)+'Acquisition'!$M$32</x:f>
        <x:v>3273.0271179672086</x:v>
      </x:c>
      <x:c r="R32" s="53" t="n">
        <x:f>'Hypothèses'!$B$23</x:f>
        <x:v>400</x:v>
      </x:c>
      <x:c r="S32" s="53" t="n">
        <x:f>'Hypothèses'!$B$19</x:f>
        <x:v>200</x:v>
      </x:c>
      <x:c r="T32" s="53" t="n">
        <x:f>'Hypothèses'!$B$20</x:f>
        <x:v>100</x:v>
      </x:c>
      <x:c r="U32" s="53" t="n">
        <x:f>'Hypothèses'!$D$45</x:f>
        <x:v>5000</x:v>
      </x:c>
      <x:c r="V32" s="53" t="n">
        <x:f>N32-SUM(O32:T32)-Z32</x:f>
        <x:v>17041.403295258442</x:v>
      </x:c>
      <x:c r="W32" s="53" t="n">
        <x:f>SUM(O32:U32)+Z32</x:f>
        <x:v>9778.777491189616</x:v>
      </x:c>
      <x:c r="X32" s="53" t="n">
        <x:f>N32-W32</x:f>
        <x:v>12041.403295258442</x:v>
      </x:c>
      <x:c r="Y32" s="53" t="n">
        <x:f>Y31+X32</x:f>
        <x:v>125676.15756802242</x:v>
      </x:c>
      <x:c r="Z32" t="n">
        <x:f>IF(M32&gt;='Hypothèses'!$B$31*'Hypothèses'!$B$30,M32*'Hypothèses'!$B$32,0)</x:f>
        <x:v>308.0496111027962</x:v>
      </x:c>
    </x:row>
    <x:row r="33">
      <x:c r="A33" s="50" t="n">
        <x:v>30</x:v>
      </x:c>
      <x:c r="B33" s="51" t="n">
        <x:v>47270</x:v>
      </x:c>
      <x:c r="C33" s="113" t="n">
        <x:f>'Acquisition'!$P$33</x:f>
        <x:v>30574.61865018245</x:v>
      </x:c>
      <x:c r="D33" s="52" t="n">
        <x:f>SUM($C$4:C33)</x:f>
        <x:v>398945.30549335777</x:v>
      </x:c>
      <x:c r="E33" s="52" t="n">
        <x:f>C4*'Cohortes MAU'!$D$33+C5*'Cohortes MAU'!$D$32+C6*'Cohortes MAU'!$D$31+C7*'Cohortes MAU'!$D$30+C8*'Cohortes MAU'!$D$29+C9*'Cohortes MAU'!$D$28+C10*'Cohortes MAU'!$D$27+C11*'Cohortes MAU'!$D$26+C12*'Cohortes MAU'!$D$25+C13*'Cohortes MAU'!$D$24+C14*'Cohortes MAU'!$D$23+C15*'Cohortes MAU'!$D$22+C16*'Cohortes MAU'!$D$21+C17*'Cohortes MAU'!$D$20+C18*'Cohortes MAU'!$D$19+C19*'Cohortes MAU'!$D$18+C20*'Cohortes MAU'!$D$17+C21*'Cohortes MAU'!$D$16+C22*'Cohortes MAU'!$D$15+C23*'Cohortes MAU'!$D$14+C24*'Cohortes MAU'!$D$13+C25*'Cohortes MAU'!$D$12+C26*'Cohortes MAU'!$D$11+C27*'Cohortes MAU'!$D$10+C28*'Cohortes MAU'!$D$9+C29*'Cohortes MAU'!$D$8+C30*'Cohortes MAU'!$D$7+C31*'Cohortes MAU'!$D$6+C32*'Cohortes MAU'!$D$5+C33*'Cohortes MAU'!$D$4</x:f>
        <x:v>79789.06109867155</x:v>
      </x:c>
      <x:c r="F33" s="52" t="n">
        <x:f>C31*'Hypothèses'!$D$39</x:f>
        <x:v>1088.4520701382146</x:v>
      </x:c>
      <x:c r="G33" s="52" t="n">
        <x:f>SUM($F$4:F33)</x:f>
        <x:v>13581.068279380508</x:v>
      </x:c>
      <x:c r="H33" s="52" t="n">
        <x:f>C30*'Hypothèses'!$D$40</x:f>
        <x:v>256.71039390052226</x:v>
      </x:c>
      <x:c r="I33" s="52" t="n">
        <x:f>G32*('Hypothèses'!$D$41/12)</x:f>
        <x:v>41.64205403080764</x:v>
      </x:c>
      <x:c r="J33" s="52" t="n">
        <x:f>(H21+J21)*'Hypothèses'!$D$42</x:f>
        <x:v>75.47621239383211</x:v>
      </x:c>
      <x:c r="K33" s="52" t="n">
        <x:f>(I21+K21)*'Hypothèses'!$D$42</x:f>
        <x:v>8.788536536612774</x:v>
      </x:c>
      <x:c r="L33" s="52" t="n">
        <x:f>SUM(H22:K33)</x:f>
        <x:v>3042.281110554686</x:v>
      </x:c>
      <x:c r="M33" s="53" t="n">
        <x:f>F33*'Hypothèses'!$B$6+H33*'Hypothèses'!$B$7+I33*'Hypothèses'!$B$8+J33*'Hypothèses'!$B$7+K33*'Hypothèses'!$B$8</x:f>
        <x:v>32728.54071027333</x:v>
      </x:c>
      <x:c r="N33" s="53" t="n">
        <x:f>M33/(1+'Hypothèses'!$B$9)*(1-'Hypothèses'!$B$10)</x:f>
        <x:v>23182.71633644361</x:v>
      </x:c>
      <x:c r="O33" s="53" t="n">
        <x:f>(MAX(MIN(E33-'Hypothèses'!$B$24,'Hypothèses'!$B$25-'Hypothèses'!$B$24),0)/1000*'Hypothèses'!$B$26+MAX(MIN(E33-'Hypothèses'!$B$25,'Hypothèses'!$B$27-'Hypothèses'!$B$25),0)/1000*'Hypothèses'!$B$28+MAX(E33-'Hypothèses'!$B$27,0)/1000*'Hypothèses'!$B$29)*'Hypothèses'!$B$30</x:f>
        <x:v>219.15624439468618</x:v>
      </x:c>
      <x:c r="P33" s="53" t="n">
        <x:f>IF(A33&gt;='Hypothèses'!$B$12,'Hypothèses'!$B$15,0)+L33*'Hypothèses'!$B$16</x:f>
        <x:v>329.2281110554686</x:v>
      </x:c>
      <x:c r="Q33" s="53" t="n">
        <x:f>MAX(N33*'Hypothèses'!$B$17,'Hypothèses'!$B$18)+'Acquisition'!$M$33</x:f>
        <x:v>3477.4074504665414</x:v>
      </x:c>
      <x:c r="R33" s="53" t="n">
        <x:f>'Hypothèses'!$B$23</x:f>
        <x:v>400</x:v>
      </x:c>
      <x:c r="S33" s="53" t="n">
        <x:f>'Hypothèses'!$B$19</x:f>
        <x:v>200</x:v>
      </x:c>
      <x:c r="T33" s="53" t="n">
        <x:f>'Hypothèses'!$B$20</x:f>
        <x:v>100</x:v>
      </x:c>
      <x:c r="U33" s="53" t="n">
        <x:f>'Hypothèses'!$D$45</x:f>
        <x:v>5000</x:v>
      </x:c>
      <x:c r="V33" s="53" t="n">
        <x:f>N33-SUM(O33:T33)-Z33</x:f>
        <x:v>18129.639123424182</x:v>
      </x:c>
      <x:c r="W33" s="53" t="n">
        <x:f>SUM(O33:U33)+Z33</x:f>
        <x:v>10053.07721301943</x:v>
      </x:c>
      <x:c r="X33" s="53" t="n">
        <x:f>N33-W33</x:f>
        <x:v>13129.63912342418</x:v>
      </x:c>
      <x:c r="Y33" s="53" t="n">
        <x:f>Y32+X33</x:f>
        <x:v>138805.7966914466</x:v>
      </x:c>
      <x:c r="Z33" t="n">
        <x:f>IF(M33&gt;='Hypothèses'!$B$31*'Hypothèses'!$B$30,M33*'Hypothèses'!$B$32,0)</x:f>
        <x:v>327.2854071027333</x:v>
      </x:c>
    </x:row>
    <x:row r="34">
      <x:c r="A34" s="50" t="n">
        <x:v>31</x:v>
      </x:c>
      <x:c r="B34" s="51" t="n">
        <x:v>47300</x:v>
      </x:c>
      <x:c r="C34" s="113" t="n">
        <x:f>'Acquisition'!$P$34</x:f>
        <x:v>32409.095769193398</x:v>
      </x:c>
      <x:c r="D34" s="52" t="n">
        <x:f>SUM($C$4:C34)</x:f>
        <x:v>431354.40126255114</x:v>
      </x:c>
      <x:c r="E34" s="52" t="n">
        <x:f>C4*'Cohortes MAU'!$D$34+C5*'Cohortes MAU'!$D$33+C6*'Cohortes MAU'!$D$32+C7*'Cohortes MAU'!$D$31+C8*'Cohortes MAU'!$D$30+C9*'Cohortes MAU'!$D$29+C10*'Cohortes MAU'!$D$28+C11*'Cohortes MAU'!$D$27+C12*'Cohortes MAU'!$D$26+C13*'Cohortes MAU'!$D$25+C14*'Cohortes MAU'!$D$24+C15*'Cohortes MAU'!$D$23+C16*'Cohortes MAU'!$D$22+C17*'Cohortes MAU'!$D$21+C18*'Cohortes MAU'!$D$20+C19*'Cohortes MAU'!$D$19+C20*'Cohortes MAU'!$D$18+C21*'Cohortes MAU'!$D$17+C22*'Cohortes MAU'!$D$16+C23*'Cohortes MAU'!$D$15+C24*'Cohortes MAU'!$D$14+C25*'Cohortes MAU'!$D$13+C26*'Cohortes MAU'!$D$12+C27*'Cohortes MAU'!$D$11+C28*'Cohortes MAU'!$D$10+C29*'Cohortes MAU'!$D$9+C30*'Cohortes MAU'!$D$8+C31*'Cohortes MAU'!$D$7+C32*'Cohortes MAU'!$D$6+C33*'Cohortes MAU'!$D$5+C34*'Cohortes MAU'!$D$4</x:f>
        <x:v>86270.88025251022</x:v>
      </x:c>
      <x:c r="F34" s="52" t="n">
        <x:f>C32*'Hypothèses'!$D$39</x:f>
        <x:v>1153.7591943465075</x:v>
      </x:c>
      <x:c r="G34" s="52" t="n">
        <x:f>SUM($F$4:F34)</x:f>
        <x:v>14734.827473727015</x:v>
      </x:c>
      <x:c r="H34" s="52" t="n">
        <x:f>C31*'Hypothèses'!$D$40</x:f>
        <x:v>272.11301753455365</x:v>
      </x:c>
      <x:c r="I34" s="52" t="n">
        <x:f>G33*('Hypothèses'!$D$41/12)</x:f>
        <x:v>45.27022759793503</x:v>
      </x:c>
      <x:c r="J34" s="52" t="n">
        <x:f>(H22+J22)*'Hypothèses'!$D$42</x:f>
        <x:v>81.51430938533868</x:v>
      </x:c>
      <x:c r="K34" s="52" t="n">
        <x:f>(I22+K22)*'Hypothèses'!$D$42</x:f>
        <x:v>9.875393995083956</x:v>
      </x:c>
      <x:c r="L34" s="52" t="n">
        <x:f>SUM(H23:K34)</x:f>
        <x:v>3320.4973399527075</x:v>
      </x:c>
      <x:c r="M34" s="53" t="n">
        <x:f>F34*'Hypothèses'!$B$6+H34*'Hypothèses'!$B$7+I34*'Hypothèses'!$B$8+J34*'Hypothèses'!$B$7+K34*'Hypothèses'!$B$8</x:f>
        <x:v>34771.290804958706</x:v>
      </x:c>
      <x:c r="N34" s="53" t="n">
        <x:f>M34/(1+'Hypothèses'!$B$9)*(1-'Hypothèses'!$B$10)</x:f>
        <x:v>24629.664320179083</x:v>
      </x:c>
      <x:c r="O34" s="53" t="n">
        <x:f>(MAX(MIN(E34-'Hypothèses'!$B$24,'Hypothèses'!$B$25-'Hypothèses'!$B$24),0)/1000*'Hypothèses'!$B$26+MAX(MIN(E34-'Hypothèses'!$B$25,'Hypothèses'!$B$27-'Hypothèses'!$B$25),0)/1000*'Hypothèses'!$B$28+MAX(E34-'Hypothèses'!$B$27,0)/1000*'Hypothèses'!$B$29)*'Hypothèses'!$B$30</x:f>
        <x:v>245.0835210100409</x:v>
      </x:c>
      <x:c r="P34" s="53" t="n">
        <x:f>IF(A34&gt;='Hypothèses'!$B$12,'Hypothèses'!$B$15,0)+L34*'Hypothèses'!$B$16</x:f>
        <x:v>357.0497339952708</x:v>
      </x:c>
      <x:c r="Q34" s="53" t="n">
        <x:f>MAX(N34*'Hypothèses'!$B$17,'Hypothèses'!$B$18)+'Acquisition'!$M$34</x:f>
        <x:v>3694.449648026862</x:v>
      </x:c>
      <x:c r="R34" s="53" t="n">
        <x:f>'Hypothèses'!$B$23</x:f>
        <x:v>400</x:v>
      </x:c>
      <x:c r="S34" s="53" t="n">
        <x:f>'Hypothèses'!$B$19</x:f>
        <x:v>200</x:v>
      </x:c>
      <x:c r="T34" s="53" t="n">
        <x:f>'Hypothèses'!$B$20</x:f>
        <x:v>100</x:v>
      </x:c>
      <x:c r="U34" s="53" t="n">
        <x:f>'Hypothèses'!$D$45</x:f>
        <x:v>5000</x:v>
      </x:c>
      <x:c r="V34" s="53" t="n">
        <x:f>N34-SUM(O34:T34)-Z34</x:f>
        <x:v>19285.368509097323</x:v>
      </x:c>
      <x:c r="W34" s="53" t="n">
        <x:f>SUM(O34:U34)+Z34</x:f>
        <x:v>10344.29581108176</x:v>
      </x:c>
      <x:c r="X34" s="53" t="n">
        <x:f>N34-W34</x:f>
        <x:v>14285.368509097323</x:v>
      </x:c>
      <x:c r="Y34" s="53" t="n">
        <x:f>Y33+X34</x:f>
        <x:v>153091.1652005439</x:v>
      </x:c>
      <x:c r="Z34" t="n">
        <x:f>IF(M34&gt;='Hypothèses'!$B$31*'Hypothèses'!$B$30,M34*'Hypothèses'!$B$32,0)</x:f>
        <x:v>347.71290804958704</x:v>
      </x:c>
    </x:row>
    <x:row r="35">
      <x:c r="A35" s="50" t="n">
        <x:v>32</x:v>
      </x:c>
      <x:c r="B35" s="51" t="n">
        <x:v>47331</x:v>
      </x:c>
      <x:c r="C35" s="113" t="n">
        <x:f>'Acquisition'!$P$35</x:f>
        <x:v>34353.64151534501</x:v>
      </x:c>
      <x:c r="D35" s="52" t="n">
        <x:f>SUM($C$4:C35)</x:f>
        <x:v>465708.04277789616</x:v>
      </x:c>
      <x:c r="E35" s="52" t="n">
        <x:f>C4*'Cohortes MAU'!$D$35+C5*'Cohortes MAU'!$D$34+C6*'Cohortes MAU'!$D$33+C7*'Cohortes MAU'!$D$32+C8*'Cohortes MAU'!$D$31+C9*'Cohortes MAU'!$D$30+C10*'Cohortes MAU'!$D$29+C11*'Cohortes MAU'!$D$28+C12*'Cohortes MAU'!$D$27+C13*'Cohortes MAU'!$D$26+C14*'Cohortes MAU'!$D$25+C15*'Cohortes MAU'!$D$24+C16*'Cohortes MAU'!$D$23+C17*'Cohortes MAU'!$D$22+C18*'Cohortes MAU'!$D$21+C19*'Cohortes MAU'!$D$20+C20*'Cohortes MAU'!$D$19+C21*'Cohortes MAU'!$D$18+C22*'Cohortes MAU'!$D$17+C23*'Cohortes MAU'!$D$16+C24*'Cohortes MAU'!$D$15+C25*'Cohortes MAU'!$D$14+C26*'Cohortes MAU'!$D$13+C27*'Cohortes MAU'!$D$12+C28*'Cohortes MAU'!$D$11+C29*'Cohortes MAU'!$D$10+C30*'Cohortes MAU'!$D$9+C31*'Cohortes MAU'!$D$8+C32*'Cohortes MAU'!$D$7+C33*'Cohortes MAU'!$D$6+C34*'Cohortes MAU'!$D$5+C35*'Cohortes MAU'!$D$4</x:f>
        <x:v>93141.60855557922</x:v>
      </x:c>
      <x:c r="F35" s="52" t="n">
        <x:f>C33*'Hypothèses'!$D$39</x:f>
        <x:v>1222.9847460072979</x:v>
      </x:c>
      <x:c r="G35" s="52" t="n">
        <x:f>SUM($F$4:F35)</x:f>
        <x:v>15957.812219734313</x:v>
      </x:c>
      <x:c r="H35" s="52" t="n">
        <x:f>C32*'Hypothèses'!$D$40</x:f>
        <x:v>288.43979858662686</x:v>
      </x:c>
      <x:c r="I35" s="52" t="n">
        <x:f>G34*('Hypothèses'!$D$41/12)</x:f>
        <x:v>49.11609157909005</x:v>
      </x:c>
      <x:c r="J35" s="52" t="n">
        <x:f>(H23+J23)*'Hypothèses'!$D$42</x:f>
        <x:v>88.03545413616578</x:v>
      </x:c>
      <x:c r="K35" s="52" t="n">
        <x:f>(I23+K23)*'Hypothèses'!$D$42</x:f>
        <x:v>11.049200050232834</x:v>
      </x:c>
      <x:c r="L35" s="52" t="n">
        <x:f>SUM(H24:K35)</x:f>
        <x:v>3615.5883783242534</x:v>
      </x:c>
      <x:c r="M35" s="53" t="n">
        <x:f>F35*'Hypothèses'!$B$6+H35*'Hypothèses'!$B$7+I35*'Hypothèses'!$B$8+J35*'Hypothèses'!$B$7+K35*'Hypothèses'!$B$8</x:f>
        <x:v>36940.66208151259</x:v>
      </x:c>
      <x:c r="N35" s="53" t="n">
        <x:f>M35/(1+'Hypothèses'!$B$9)*(1-'Hypothèses'!$B$10)</x:f>
        <x:v>26166.30230773809</x:v>
      </x:c>
      <x:c r="O35" s="53" t="n">
        <x:f>(MAX(MIN(E35-'Hypothèses'!$B$24,'Hypothèses'!$B$25-'Hypothèses'!$B$24),0)/1000*'Hypothèses'!$B$26+MAX(MIN(E35-'Hypothèses'!$B$25,'Hypothèses'!$B$27-'Hypothèses'!$B$25),0)/1000*'Hypothèses'!$B$28+MAX(E35-'Hypothèses'!$B$27,0)/1000*'Hypothèses'!$B$29)*'Hypothèses'!$B$30</x:f>
        <x:v>272.5664342223169</x:v>
      </x:c>
      <x:c r="P35" s="53" t="n">
        <x:f>IF(A35&gt;='Hypothèses'!$B$12,'Hypothèses'!$B$15,0)+L35*'Hypothèses'!$B$16</x:f>
        <x:v>386.55883783242535</x:v>
      </x:c>
      <x:c r="Q35" s="53" t="n">
        <x:f>MAX(N35*'Hypothèses'!$B$17,'Hypothèses'!$B$18)+'Acquisition'!$M$35</x:f>
        <x:v>3924.945346160713</x:v>
      </x:c>
      <x:c r="R35" s="53" t="n">
        <x:f>'Hypothèses'!$B$23</x:f>
        <x:v>400</x:v>
      </x:c>
      <x:c r="S35" s="53" t="n">
        <x:f>'Hypothèses'!$B$19</x:f>
        <x:v>200</x:v>
      </x:c>
      <x:c r="T35" s="53" t="n">
        <x:f>'Hypothèses'!$B$20</x:f>
        <x:v>100</x:v>
      </x:c>
      <x:c r="U35" s="53" t="n">
        <x:f>'Hypothèses'!$D$45</x:f>
        <x:v>5000</x:v>
      </x:c>
      <x:c r="V35" s="53" t="n">
        <x:f>N35-SUM(O35:T35)-Z35</x:f>
        <x:v>20512.825068707505</x:v>
      </x:c>
      <x:c r="W35" s="53" t="n">
        <x:f>SUM(O35:U35)+Z35</x:f>
        <x:v>10653.47723903058</x:v>
      </x:c>
      <x:c r="X35" s="53" t="n">
        <x:f>N35-W35</x:f>
        <x:v>15512.825068707509</x:v>
      </x:c>
      <x:c r="Y35" s="53" t="n">
        <x:f>Y34+X35</x:f>
        <x:v>168603.99026925143</x:v>
      </x:c>
      <x:c r="Z35" t="n">
        <x:f>IF(M35&gt;='Hypothèses'!$B$31*'Hypothèses'!$B$30,M35*'Hypothèses'!$B$32,0)</x:f>
        <x:v>369.40662081512596</x:v>
      </x:c>
    </x:row>
    <x:row r="36">
      <x:c r="A36" s="50" t="n">
        <x:v>33</x:v>
      </x:c>
      <x:c r="B36" s="51" t="n">
        <x:v>47362</x:v>
      </x:c>
      <x:c r="C36" s="113" t="n">
        <x:f>'Acquisition'!$P$36</x:f>
        <x:v>36414.860006265706</x:v>
      </x:c>
      <x:c r="D36" s="52" t="n">
        <x:f>SUM($C$4:C36)</x:f>
        <x:v>502122.90278416185</x:v>
      </x:c>
      <x:c r="E36" s="52" t="n">
        <x:f>C4*'Cohortes MAU'!$D$36+C5*'Cohortes MAU'!$D$35+C6*'Cohortes MAU'!$D$34+C7*'Cohortes MAU'!$D$33+C8*'Cohortes MAU'!$D$32+C9*'Cohortes MAU'!$D$31+C10*'Cohortes MAU'!$D$30+C11*'Cohortes MAU'!$D$29+C12*'Cohortes MAU'!$D$28+C13*'Cohortes MAU'!$D$27+C14*'Cohortes MAU'!$D$26+C15*'Cohortes MAU'!$D$25+C16*'Cohortes MAU'!$D$24+C17*'Cohortes MAU'!$D$23+C18*'Cohortes MAU'!$D$22+C19*'Cohortes MAU'!$D$21+C20*'Cohortes MAU'!$D$20+C21*'Cohortes MAU'!$D$19+C22*'Cohortes MAU'!$D$18+C23*'Cohortes MAU'!$D$17+C24*'Cohortes MAU'!$D$16+C25*'Cohortes MAU'!$D$15+C26*'Cohortes MAU'!$D$14+C27*'Cohortes MAU'!$D$13+C28*'Cohortes MAU'!$D$12+C29*'Cohortes MAU'!$D$11+C30*'Cohortes MAU'!$D$10+C31*'Cohortes MAU'!$D$9+C32*'Cohortes MAU'!$D$8+C33*'Cohortes MAU'!$D$7+C34*'Cohortes MAU'!$D$6+C35*'Cohortes MAU'!$D$5+C36*'Cohortes MAU'!$D$4</x:f>
        <x:v>100424.58055683237</x:v>
      </x:c>
      <x:c r="F36" s="52" t="n">
        <x:f>C34*'Hypothèses'!$D$39</x:f>
        <x:v>1296.3638307677359</x:v>
      </x:c>
      <x:c r="G36" s="52" t="n">
        <x:f>SUM($F$4:F36)</x:f>
        <x:v>17254.17605050205</x:v>
      </x:c>
      <x:c r="H36" s="52" t="n">
        <x:f>C33*'Hypothèses'!$D$40</x:f>
        <x:v>305.74618650182447</x:v>
      </x:c>
      <x:c r="I36" s="52" t="n">
        <x:f>G35*('Hypothèses'!$D$41/12)</x:f>
        <x:v>53.192707399114376</x:v>
      </x:c>
      <x:c r="J36" s="52" t="n">
        <x:f>(H24+J24)*'Hypothèses'!$D$42</x:f>
        <x:v>95.07829046705905</x:v>
      </x:c>
      <x:c r="K36" s="52" t="n">
        <x:f>(I24+K24)*'Hypothèses'!$D$42</x:f>
        <x:v>12.31691058979362</x:v>
      </x:c>
      <x:c r="L36" s="52" t="n">
        <x:f>SUM(H25:K36)</x:f>
        <x:v>3928.500757486541</x:v>
      </x:c>
      <x:c r="M36" s="53" t="n">
        <x:f>F36*'Hypothèses'!$B$6+H36*'Hypothèses'!$B$7+I36*'Hypothèses'!$B$8+J36*'Hypothèses'!$B$7+K36*'Hypothèses'!$B$8</x:f>
        <x:v>39244.57630494213</x:v>
      </x:c>
      <x:c r="N36" s="53" t="n">
        <x:f>M36/(1+'Hypothèses'!$B$9)*(1-'Hypothèses'!$B$10)</x:f>
        <x:v>27798.24154933401</x:v>
      </x:c>
      <x:c r="O36" s="53" t="n">
        <x:f>(MAX(MIN(E36-'Hypothèses'!$B$24,'Hypothèses'!$B$25-'Hypothèses'!$B$24),0)/1000*'Hypothèses'!$B$26+MAX(MIN(E36-'Hypothèses'!$B$25,'Hypothèses'!$B$27-'Hypothèses'!$B$25),0)/1000*'Hypothèses'!$B$28+MAX(E36-'Hypothèses'!$B$27,0)/1000*'Hypothèses'!$B$29)*'Hypothèses'!$B$30</x:f>
        <x:v>301.69832222732947</x:v>
      </x:c>
      <x:c r="P36" s="53" t="n">
        <x:f>IF(A36&gt;='Hypothèses'!$B$12,'Hypothèses'!$B$15,0)+L36*'Hypothèses'!$B$16</x:f>
        <x:v>417.8500757486541</x:v>
      </x:c>
      <x:c r="Q36" s="53" t="n">
        <x:f>MAX(N36*'Hypothèses'!$B$17,'Hypothèses'!$B$18)+'Acquisition'!$M$36</x:f>
        <x:v>4169.7362324001015</x:v>
      </x:c>
      <x:c r="R36" s="53" t="n">
        <x:f>'Hypothèses'!$B$23</x:f>
        <x:v>400</x:v>
      </x:c>
      <x:c r="S36" s="53" t="n">
        <x:f>'Hypothèses'!$B$19</x:f>
        <x:v>200</x:v>
      </x:c>
      <x:c r="T36" s="53" t="n">
        <x:f>'Hypothèses'!$B$20</x:f>
        <x:v>100</x:v>
      </x:c>
      <x:c r="U36" s="53" t="n">
        <x:f>'Hypothèses'!$D$45</x:f>
        <x:v>5000</x:v>
      </x:c>
      <x:c r="V36" s="53" t="n">
        <x:f>N36-SUM(O36:T36)-Z36</x:f>
        <x:v>21816.5111559085</x:v>
      </x:c>
      <x:c r="W36" s="53" t="n">
        <x:f>SUM(O36:U36)+Z36</x:f>
        <x:v>10981.730393425507</x:v>
      </x:c>
      <x:c r="X36" s="53" t="n">
        <x:f>N36-W36</x:f>
        <x:v>16816.5111559085</x:v>
      </x:c>
      <x:c r="Y36" s="53" t="n">
        <x:f>Y35+X36</x:f>
        <x:v>185420.50142515992</x:v>
      </x:c>
      <x:c r="Z36" t="n">
        <x:f>IF(M36&gt;='Hypothèses'!$B$31*'Hypothèses'!$B$30,M36*'Hypothèses'!$B$32,0)</x:f>
        <x:v>392.4457630494213</x:v>
      </x:c>
    </x:row>
    <x:row r="37">
      <x:c r="A37" s="50" t="n">
        <x:v>34</x:v>
      </x:c>
      <x:c r="B37" s="51" t="n">
        <x:v>47392</x:v>
      </x:c>
      <x:c r="C37" s="113" t="n">
        <x:f>'Acquisition'!$P$37</x:f>
        <x:v>38599.75160664165</x:v>
      </x:c>
      <x:c r="D37" s="52" t="n">
        <x:f>SUM($C$4:C37)</x:f>
        <x:v>540722.6543908035</x:v>
      </x:c>
      <x:c r="E37" s="52" t="n">
        <x:f>C4*'Cohortes MAU'!$D$37+C5*'Cohortes MAU'!$D$36+C6*'Cohortes MAU'!$D$35+C7*'Cohortes MAU'!$D$34+C8*'Cohortes MAU'!$D$33+C9*'Cohortes MAU'!$D$32+C10*'Cohortes MAU'!$D$31+C11*'Cohortes MAU'!$D$30+C12*'Cohortes MAU'!$D$29+C13*'Cohortes MAU'!$D$28+C14*'Cohortes MAU'!$D$27+C15*'Cohortes MAU'!$D$26+C16*'Cohortes MAU'!$D$25+C17*'Cohortes MAU'!$D$24+C18*'Cohortes MAU'!$D$23+C19*'Cohortes MAU'!$D$22+C20*'Cohortes MAU'!$D$21+C21*'Cohortes MAU'!$D$20+C22*'Cohortes MAU'!$D$19+C23*'Cohortes MAU'!$D$18+C24*'Cohortes MAU'!$D$17+C25*'Cohortes MAU'!$D$16+C26*'Cohortes MAU'!$D$15+C27*'Cohortes MAU'!$D$14+C28*'Cohortes MAU'!$D$13+C29*'Cohortes MAU'!$D$12+C30*'Cohortes MAU'!$D$11+C31*'Cohortes MAU'!$D$10+C32*'Cohortes MAU'!$D$9+C33*'Cohortes MAU'!$D$8+C34*'Cohortes MAU'!$D$7+C35*'Cohortes MAU'!$D$6+C36*'Cohortes MAU'!$D$5+C37*'Cohortes MAU'!$D$4</x:f>
        <x:v>108144.5308781607</x:v>
      </x:c>
      <x:c r="F37" s="52" t="n">
        <x:f>C35*'Hypothèses'!$D$39</x:f>
        <x:v>1374.1456606138004</x:v>
      </x:c>
      <x:c r="G37" s="52" t="n">
        <x:f>SUM($F$4:F37)</x:f>
        <x:v>18628.321711115852</x:v>
      </x:c>
      <x:c r="H37" s="52" t="n">
        <x:f>C34*'Hypothèses'!$D$40</x:f>
        <x:v>324.09095769193397</x:v>
      </x:c>
      <x:c r="I37" s="52" t="n">
        <x:f>G36*('Hypothèses'!$D$41/12)</x:f>
        <x:v>57.51392016834017</x:v>
      </x:c>
      <x:c r="J37" s="52" t="n">
        <x:f>(H25+J25)*'Hypothèses'!$D$42</x:f>
        <x:v>128.7265004044238</x:v>
      </x:c>
      <x:c r="K37" s="52" t="n">
        <x:f>(I25+K25)*'Hypothèses'!$D$42</x:f>
        <x:v>15.545523488519274</x:v>
      </x:c>
      <x:c r="L37" s="52" t="n">
        <x:f>SUM(H26:K37)</x:f>
        <x:v>4248.274767964125</x:v>
      </x:c>
      <x:c r="M37" s="53" t="n">
        <x:f>F37*'Hypothèses'!$B$6+H37*'Hypothèses'!$B$7+I37*'Hypothèses'!$B$8+J37*'Hypothèses'!$B$7+K37*'Hypothèses'!$B$8</x:f>
        <x:v>42509.62560268025</x:v>
      </x:c>
      <x:c r="N37" s="53" t="n">
        <x:f>M37/(1+'Hypothèses'!$B$9)*(1-'Hypothèses'!$B$10)</x:f>
        <x:v>30110.984801898514</x:v>
      </x:c>
      <x:c r="O37" s="53" t="n">
        <x:f>(MAX(MIN(E37-'Hypothèses'!$B$24,'Hypothèses'!$B$25-'Hypothèses'!$B$24),0)/1000*'Hypothèses'!$B$26+MAX(MIN(E37-'Hypothèses'!$B$25,'Hypothèses'!$B$27-'Hypothèses'!$B$25),0)/1000*'Hypothèses'!$B$28+MAX(E37-'Hypothèses'!$B$27,0)/1000*'Hypothèses'!$B$29)*'Hypothèses'!$B$30</x:f>
        <x:v>332.57812351264283</x:v>
      </x:c>
      <x:c r="P37" s="53" t="n">
        <x:f>IF(A37&gt;='Hypothèses'!$B$12,'Hypothèses'!$B$15,0)+L37*'Hypothèses'!$B$16</x:f>
        <x:v>449.82747679641255</x:v>
      </x:c>
      <x:c r="Q37" s="53" t="n">
        <x:f>MAX(N37*'Hypothèses'!$B$17,'Hypothèses'!$B$18)+'Acquisition'!$M$37</x:f>
        <x:v>4516.647720284777</x:v>
      </x:c>
      <x:c r="R37" s="53" t="n">
        <x:f>'Hypothèses'!$B$23</x:f>
        <x:v>400</x:v>
      </x:c>
      <x:c r="S37" s="53" t="n">
        <x:f>'Hypothèses'!$B$19</x:f>
        <x:v>200</x:v>
      </x:c>
      <x:c r="T37" s="53" t="n">
        <x:f>'Hypothèses'!$B$20</x:f>
        <x:v>100</x:v>
      </x:c>
      <x:c r="U37" s="53" t="n">
        <x:f>'Hypothèses'!$D$45</x:f>
        <x:v>5000</x:v>
      </x:c>
      <x:c r="V37" s="53" t="n">
        <x:f>N37-SUM(O37:T37)-Z37</x:f>
        <x:v>23686.83522527788</x:v>
      </x:c>
      <x:c r="W37" s="53" t="n">
        <x:f>SUM(O37:U37)+Z37</x:f>
        <x:v>11424.149576620635</x:v>
      </x:c>
      <x:c r="X37" s="53" t="n">
        <x:f>N37-W37</x:f>
        <x:v>18686.83522527788</x:v>
      </x:c>
      <x:c r="Y37" s="53" t="n">
        <x:f>Y36+X37</x:f>
        <x:v>204107.3366504378</x:v>
      </x:c>
      <x:c r="Z37" t="n">
        <x:f>IF(M37&gt;='Hypothèses'!$B$31*'Hypothèses'!$B$30,M37*'Hypothèses'!$B$32,0)</x:f>
        <x:v>425.0962560268025</x:v>
      </x:c>
    </x:row>
    <x:row r="38">
      <x:c r="A38" s="50" t="n">
        <x:v>35</x:v>
      </x:c>
      <x:c r="B38" s="51" t="n">
        <x:v>47423</x:v>
      </x:c>
      <x:c r="C38" s="113" t="n">
        <x:f>'Acquisition'!$P$38</x:f>
        <x:v>40915.73670304015</x:v>
      </x:c>
      <x:c r="D38" s="52" t="n">
        <x:f>SUM($C$4:C38)</x:f>
        <x:v>581638.3910938437</x:v>
      </x:c>
      <x:c r="E38" s="52" t="n">
        <x:f>C4*'Cohortes MAU'!$D$38+C5*'Cohortes MAU'!$D$37+C6*'Cohortes MAU'!$D$36+C7*'Cohortes MAU'!$D$35+C8*'Cohortes MAU'!$D$34+C9*'Cohortes MAU'!$D$33+C10*'Cohortes MAU'!$D$32+C11*'Cohortes MAU'!$D$31+C12*'Cohortes MAU'!$D$30+C13*'Cohortes MAU'!$D$29+C14*'Cohortes MAU'!$D$28+C15*'Cohortes MAU'!$D$27+C16*'Cohortes MAU'!$D$26+C17*'Cohortes MAU'!$D$25+C18*'Cohortes MAU'!$D$24+C19*'Cohortes MAU'!$D$23+C20*'Cohortes MAU'!$D$22+C21*'Cohortes MAU'!$D$21+C22*'Cohortes MAU'!$D$20+C23*'Cohortes MAU'!$D$19+C24*'Cohortes MAU'!$D$18+C25*'Cohortes MAU'!$D$17+C26*'Cohortes MAU'!$D$16+C27*'Cohortes MAU'!$D$15+C28*'Cohortes MAU'!$D$14+C29*'Cohortes MAU'!$D$13+C30*'Cohortes MAU'!$D$12+C31*'Cohortes MAU'!$D$11+C32*'Cohortes MAU'!$D$10+C33*'Cohortes MAU'!$D$9+C34*'Cohortes MAU'!$D$8+C35*'Cohortes MAU'!$D$7+C36*'Cohortes MAU'!$D$6+C37*'Cohortes MAU'!$D$5+C38*'Cohortes MAU'!$D$4</x:f>
        <x:v>116327.67821876873</x:v>
      </x:c>
      <x:c r="F38" s="52" t="n">
        <x:f>C36*'Hypothèses'!$D$39</x:f>
        <x:v>1456.5944002506283</x:v>
      </x:c>
      <x:c r="G38" s="52" t="n">
        <x:f>SUM($F$4:F38)</x:f>
        <x:v>20084.91611136648</x:v>
      </x:c>
      <x:c r="H38" s="52" t="n">
        <x:f>C35*'Hypothèses'!$D$40</x:f>
        <x:v>343.5364151534501</x:v>
      </x:c>
      <x:c r="I38" s="52" t="n">
        <x:f>G37*('Hypothèses'!$D$41/12)</x:f>
        <x:v>62.09440570371951</x:v>
      </x:c>
      <x:c r="J38" s="52" t="n">
        <x:f>(H26+J26)*'Hypothèses'!$D$42</x:f>
        <x:v>139.5454593707777</x:v>
      </x:c>
      <x:c r="K38" s="52" t="n">
        <x:f>(I26+K26)*'Hypothèses'!$D$42</x:f>
        <x:v>17.406129613462976</x:v>
      </x:c>
      <x:c r="L38" s="52" t="n">
        <x:f>SUM(H27:K38)</x:f>
        <x:v>4586.640622113763</x:v>
      </x:c>
      <x:c r="M38" s="53" t="n">
        <x:f>F38*'Hypothèses'!$B$6+H38*'Hypothèses'!$B$7+I38*'Hypothèses'!$B$8+J38*'Hypothèses'!$B$7+K38*'Hypothèses'!$B$8</x:f>
        <x:v>45194.16317898213</x:v>
      </x:c>
      <x:c r="N38" s="53" t="n">
        <x:f>M38/(1+'Hypothèses'!$B$9)*(1-'Hypothèses'!$B$10)</x:f>
        <x:v>32012.532251779012</x:v>
      </x:c>
      <x:c r="O38" s="53" t="n">
        <x:f>(MAX(MIN(E38-'Hypothèses'!$B$24,'Hypothèses'!$B$25-'Hypothèses'!$B$24),0)/1000*'Hypothèses'!$B$26+MAX(MIN(E38-'Hypothèses'!$B$25,'Hypothèses'!$B$27-'Hypothèses'!$B$25),0)/1000*'Hypothèses'!$B$28+MAX(E38-'Hypothèses'!$B$27,0)/1000*'Hypothèses'!$B$29)*'Hypothèses'!$B$30</x:f>
        <x:v>365.31071287507496</x:v>
      </x:c>
      <x:c r="P38" s="53" t="n">
        <x:f>IF(A38&gt;='Hypothèses'!$B$12,'Hypothèses'!$B$15,0)+L38*'Hypothèses'!$B$16</x:f>
        <x:v>483.66406221137635</x:v>
      </x:c>
      <x:c r="Q38" s="53" t="n">
        <x:f>MAX(N38*'Hypothèses'!$B$17,'Hypothèses'!$B$18)+'Acquisition'!$M$38</x:f>
        <x:v>4801.879837766852</x:v>
      </x:c>
      <x:c r="R38" s="53" t="n">
        <x:f>'Hypothèses'!$B$23</x:f>
        <x:v>400</x:v>
      </x:c>
      <x:c r="S38" s="53" t="n">
        <x:f>'Hypothèses'!$B$19</x:f>
        <x:v>200</x:v>
      </x:c>
      <x:c r="T38" s="53" t="n">
        <x:f>'Hypothèses'!$B$20</x:f>
        <x:v>100</x:v>
      </x:c>
      <x:c r="U38" s="53" t="n">
        <x:f>'Hypothèses'!$D$45</x:f>
        <x:v>5000</x:v>
      </x:c>
      <x:c r="V38" s="53" t="n">
        <x:f>N38-SUM(O38:T38)-Z38</x:f>
        <x:v>25209.736007135885</x:v>
      </x:c>
      <x:c r="W38" s="53" t="n">
        <x:f>SUM(O38:U38)+Z38</x:f>
        <x:v>11802.796244643125</x:v>
      </x:c>
      <x:c r="X38" s="53" t="n">
        <x:f>N38-W38</x:f>
        <x:v>20209.736007135885</x:v>
      </x:c>
      <x:c r="Y38" s="53" t="n">
        <x:f>Y37+X38</x:f>
        <x:v>224317.07265757368</x:v>
      </x:c>
      <x:c r="Z38" t="n">
        <x:f>IF(M38&gt;='Hypothèses'!$B$31*'Hypothèses'!$B$30,M38*'Hypothèses'!$B$32,0)</x:f>
        <x:v>451.9416317898213</x:v>
      </x:c>
    </x:row>
    <x:row r="39">
      <x:c r="A39" s="50" t="n">
        <x:v>36</x:v>
      </x:c>
      <x:c r="B39" s="51" t="n">
        <x:v>47453</x:v>
      </x:c>
      <x:c r="C39" s="113" t="n">
        <x:f>'Acquisition'!$P$39</x:f>
        <x:v>43370.680905222565</x:v>
      </x:c>
      <x:c r="D39" s="52" t="n">
        <x:f>SUM($C$4:C39)</x:f>
        <x:v>625009.0719990663</x:v>
      </x:c>
      <x:c r="E39" s="52" t="n">
        <x:f>C4*'Cohortes MAU'!$D$39+C5*'Cohortes MAU'!$D$38+C6*'Cohortes MAU'!$D$37+C7*'Cohortes MAU'!$D$36+C8*'Cohortes MAU'!$D$35+C9*'Cohortes MAU'!$D$34+C10*'Cohortes MAU'!$D$33+C11*'Cohortes MAU'!$D$32+C12*'Cohortes MAU'!$D$31+C13*'Cohortes MAU'!$D$30+C14*'Cohortes MAU'!$D$29+C15*'Cohortes MAU'!$D$28+C16*'Cohortes MAU'!$D$27+C17*'Cohortes MAU'!$D$26+C18*'Cohortes MAU'!$D$25+C19*'Cohortes MAU'!$D$24+C20*'Cohortes MAU'!$D$23+C21*'Cohortes MAU'!$D$22+C22*'Cohortes MAU'!$D$21+C23*'Cohortes MAU'!$D$20+C24*'Cohortes MAU'!$D$19+C25*'Cohortes MAU'!$D$18+C26*'Cohortes MAU'!$D$17+C27*'Cohortes MAU'!$D$16+C28*'Cohortes MAU'!$D$15+C29*'Cohortes MAU'!$D$14+C30*'Cohortes MAU'!$D$13+C31*'Cohortes MAU'!$D$12+C32*'Cohortes MAU'!$D$11+C33*'Cohortes MAU'!$D$10+C34*'Cohortes MAU'!$D$9+C35*'Cohortes MAU'!$D$8+C36*'Cohortes MAU'!$D$7+C37*'Cohortes MAU'!$D$6+C38*'Cohortes MAU'!$D$5+C39*'Cohortes MAU'!$D$4</x:f>
        <x:v>125001.81439981324</x:v>
      </x:c>
      <x:c r="F39" s="52" t="n">
        <x:f>C37*'Hypothèses'!$D$39</x:f>
        <x:v>1543.990064265666</x:v>
      </x:c>
      <x:c r="G39" s="52" t="n">
        <x:f>SUM($F$4:F39)</x:f>
        <x:v>21628.906175632146</x:v>
      </x:c>
      <x:c r="H39" s="52" t="n">
        <x:f>C36*'Hypothèses'!$D$40</x:f>
        <x:v>364.14860006265707</x:v>
      </x:c>
      <x:c r="I39" s="52" t="n">
        <x:f>G38*('Hypothèses'!$D$41/12)</x:f>
        <x:v>66.9497203712216</x:v>
      </x:c>
      <x:c r="J39" s="52" t="n">
        <x:f>(H27+J27)*'Hypothèses'!$D$42</x:f>
        <x:v>151.2820189478399</x:v>
      </x:c>
      <x:c r="K39" s="52" t="n">
        <x:f>(I27+K27)*'Hypothèses'!$D$42</x:f>
        <x:v>19.423223199434176</x:v>
      </x:c>
      <x:c r="L39" s="52" t="n">
        <x:f>SUM(H28:K39)</x:f>
        <x:v>4944.579553055953</x:v>
      </x:c>
      <x:c r="M39" s="53" t="n">
        <x:f>F39*'Hypothèses'!$B$6+H39*'Hypothèses'!$B$7+I39*'Hypothèses'!$B$8+J39*'Hypothèses'!$B$7+K39*'Hypothèses'!$B$8</x:f>
        <x:v>48048.72079077287</x:v>
      </x:c>
      <x:c r="N39" s="53" t="n">
        <x:f>M39/(1+'Hypothèses'!$B$9)*(1-'Hypothèses'!$B$10)</x:f>
        <x:v>34034.51056013079</x:v>
      </x:c>
      <x:c r="O39" s="53" t="n">
        <x:f>(MAX(MIN(E39-'Hypothèses'!$B$24,'Hypothèses'!$B$25-'Hypothèses'!$B$24),0)/1000*'Hypothèses'!$B$26+MAX(MIN(E39-'Hypothèses'!$B$25,'Hypothèses'!$B$27-'Hypothèses'!$B$25),0)/1000*'Hypothèses'!$B$28+MAX(E39-'Hypothèses'!$B$27,0)/1000*'Hypothèses'!$B$29)*'Hypothèses'!$B$30</x:f>
        <x:v>400.00580607940236</x:v>
      </x:c>
      <x:c r="P39" s="53" t="n">
        <x:f>IF(A39&gt;='Hypothèses'!$B$12,'Hypothèses'!$B$15,0)+L39*'Hypothèses'!$B$16</x:f>
        <x:v>519.4579553055953</x:v>
      </x:c>
      <x:c r="Q39" s="53" t="n">
        <x:f>MAX(N39*'Hypothèses'!$B$17,'Hypothèses'!$B$18)+'Acquisition'!$M$39</x:f>
        <x:v>5105.176584019618</x:v>
      </x:c>
      <x:c r="R39" s="53" t="n">
        <x:f>'Hypothèses'!$B$23</x:f>
        <x:v>400</x:v>
      </x:c>
      <x:c r="S39" s="53" t="n">
        <x:f>'Hypothèses'!$B$19</x:f>
        <x:v>200</x:v>
      </x:c>
      <x:c r="T39" s="53" t="n">
        <x:f>'Hypothèses'!$B$20</x:f>
        <x:v>100</x:v>
      </x:c>
      <x:c r="U39" s="53" t="n">
        <x:f>'Hypothèses'!$D$45</x:f>
        <x:v>5000</x:v>
      </x:c>
      <x:c r="V39" s="53" t="n">
        <x:f>N39-SUM(O39:T39)-Z39</x:f>
        <x:v>26829.383006818443</x:v>
      </x:c>
      <x:c r="W39" s="53" t="n">
        <x:f>SUM(O39:U39)+Z39</x:f>
        <x:v>12205.127553312344</x:v>
      </x:c>
      <x:c r="X39" s="53" t="n">
        <x:f>N39-W39</x:f>
        <x:v>21829.383006818443</x:v>
      </x:c>
      <x:c r="Y39" s="53" t="n">
        <x:f>Y38+X39</x:f>
        <x:v>246146.45566439212</x:v>
      </x:c>
      <x:c r="Z39" t="n">
        <x:f>IF(M39&gt;='Hypothèses'!$B$31*'Hypothèses'!$B$30,M39*'Hypothèses'!$B$32,0)</x:f>
        <x:v>480.48720790772876</x:v>
      </x:c>
    </x:row>
  </x:sheetData>
  <x:mergeCells>
    <x:mergeCell ref="A1:Y1"/>
  </x:mergeCells>
  <x:conditionalFormatting sqref="X4:X39">
    <x:cfRule type="cellIs" dxfId="4" priority="1" operator="lessThan">
      <x:formula>0</x:formula>
    </x:cfRule>
  </x:conditionalFormatting>
  <x:conditionalFormatting sqref="Y4:Y39">
    <x:cfRule type="cellIs" dxfId="5" priority="2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70" hidden="0" customWidth="1"/>
    <x:col min="4" max="4" width="16" hidden="0" customWidth="1"/>
    <x:col min="5" max="5" width="70" hidden="0" customWidth="1"/>
  </x:cols>
  <x:sheetData>
    <x:row r="1">
      <x:c r="A1" s="32" t="str">
        <x:v>WHERIS — Sources et références du modèle</x:v>
      </x:c>
      <x:c r="B1" s="32"/>
      <x:c r="C1" s="32"/>
      <x:c r="D1" s="32"/>
      <x:c r="E1" s="32"/>
    </x:row>
    <x:row r="3">
      <x:c r="A3" s="9" t="str">
        <x:v>Sujet</x:v>
      </x:c>
      <x:c r="B3" s="9" t="str">
        <x:v>Source</x:v>
      </x:c>
      <x:c r="C3" s="9" t="str">
        <x:v>URL / référence</x:v>
      </x:c>
      <x:c r="D3" s="9" t="str">
        <x:v>Date vérification</x:v>
      </x:c>
      <x:c r="E3" s="9" t="str">
        <x:v>Usage dans le modèle</x:v>
      </x:c>
    </x:row>
    <x:row r="4">
      <x:c r="A4" t="str">
        <x:v>Google Play — frais de service</x:v>
      </x:c>
      <x:c r="B4" t="str">
        <x:v>Google Play Console Help</x:v>
      </x:c>
      <x:c r="C4" t="str">
        <x:v>https://support.google.com/googleplay/android-developer/answer/112622?hl=fr</x:v>
      </x:c>
      <x:c r="D4" t="str">
        <x:v>2026-09-17</x:v>
      </x:c>
      <x:c r="E4" t="str">
        <x:v>Hypothèse de 15% utilisée comme cas central; structure EEE 2026 à revalider selon éligibilité/programme.</x:v>
      </x:c>
    </x:row>
    <x:row r="5">
      <x:c r="A5" t="str">
        <x:v>Mapbox Maps SDK Mobile</x:v>
      </x:c>
      <x:c r="B5" t="str">
        <x:v>Mapbox Pricing</x:v>
      </x:c>
      <x:c r="C5" t="str">
        <x:v>https://www.mapbox.com/pricing</x:v>
      </x:c>
      <x:c r="D5" t="str">
        <x:v>2026-09-17</x:v>
      </x:c>
      <x:c r="E5" t="str">
        <x:v>25k MAU gratuits; 4 / 3.2 / 2.4 USD par 1k selon paliers publics.</x:v>
      </x:c>
    </x:row>
    <x:row r="6">
      <x:c r="A6" t="str">
        <x:v>Cloud / backend</x:v>
      </x:c>
      <x:c r="B6" t="str">
        <x:v>Supabase Pricing</x:v>
      </x:c>
      <x:c r="C6" t="str">
        <x:v>https://supabase.com/pricing</x:v>
      </x:c>
      <x:c r="D6" t="str">
        <x:v>2026-09-17</x:v>
      </x:c>
      <x:c r="E6" t="str">
        <x:v>Point de repère: Pro à partir de 25 USD/mois, 100k MAU inclus.</x:v>
      </x:c>
    </x:row>
    <x:row r="7">
      <x:c r="A7" t="str">
        <x:v>Stockage objet</x:v>
      </x:c>
      <x:c r="B7" t="str">
        <x:v>Cloudflare R2 Pricing</x:v>
      </x:c>
      <x:c r="C7" t="str">
        <x:v>https://developers.cloudflare.com/r2/pricing/</x:v>
      </x:c>
      <x:c r="D7" t="str">
        <x:v>2026-09-17</x:v>
      </x:c>
      <x:c r="E7" t="str">
        <x:v>Repère stockage: 0.015 USD/GB-mois en Standard; non injecté directement dans le modèle.</x:v>
      </x:c>
    </x:row>
    <x:row r="8">
      <x:c r="A8" t="str">
        <x:v>TVA France</x:v>
      </x:c>
      <x:c r="B8" t="str">
        <x:v>Ministère de l'Économie</x:v>
      </x:c>
      <x:c r="C8" t="str">
        <x:v>https://www.economie.gouv.fr/particuliers/impots-et-fiscalite/gerer-mes-autres-impots-et-taxes/tva-quels-sont-les-taux-de-votre-quotidien</x:v>
      </x:c>
      <x:c r="D8" t="str">
        <x:v>2026-09-17</x:v>
      </x:c>
      <x:c r="E8" t="str">
        <x:v>Taux normal 20% utilisé pour le cas France métropolitaine.</x:v>
      </x:c>
    </x:row>
    <x:row r="9">
      <x:c r="A9" t="str">
        <x:v>Business model projet</x:v>
      </x:c>
      <x:c r="B9" t="str">
        <x:v>WHERIS_MASTER.md</x:v>
      </x:c>
      <x:c r="C9" t="str">
        <x:v>§51 BUSINESS MODEL / référence interne</x:v>
      </x:c>
      <x:c r="D9" t="str"/>
      <x:c r="E9" t="str">
        <x:v>Prévoit Free/Premium mais interdit de figer prématurément prix/limites.</x:v>
      </x:c>
    </x:row>
    <x:row r="10">
      <x:c r="A10" t="str">
        <x:v>Premium / design</x:v>
      </x:c>
      <x:c r="B10" t="str">
        <x:v>01_DESIGN_FOUNDATIONS.md</x:v>
      </x:c>
      <x:c r="C10" t="str">
        <x:v>§46 Future Premium presentation</x:v>
      </x:c>
      <x:c r="D10" t="str"/>
      <x:c r="E10" t="str">
        <x:v>Premium hors MVP actif; protéger l'usage local fondamental.</x:v>
      </x:c>
    </x:row>
    <x:row r="11">
      <x:c r="A11" t="str">
        <x:v>MVP / billing</x:v>
      </x:c>
      <x:c r="B11" t="str">
        <x:v>05_USER_FLOWS.md</x:v>
      </x:c>
      <x:c r="C11" t="str">
        <x:v>§146 Premium / billing boundary</x:v>
      </x:c>
      <x:c r="D11" t="str"/>
      <x:c r="E11" t="str">
        <x:v>Pas de paywall, abonnement ou achat dans les flows MVP canoniques.</x:v>
      </x:c>
    </x:row>
    <x:row r="12">
      <x:c r="A12" t="str">
        <x:v>Local-first / privacy</x:v>
      </x:c>
      <x:c r="B12" t="str">
        <x:v>SECURITY_PRIVACY.md</x:v>
      </x:c>
      <x:c r="C12" t="str">
        <x:v>§2 Local-first privacy promise</x:v>
      </x:c>
      <x:c r="D12" t="str"/>
      <x:c r="E12" t="str">
        <x:v>Pas de compte/backend requis pour l'usage local MVP; cloud futur explicite.</x:v>
      </x:c>
    </x:row>
    <x:row r="13">
      <x:c r="A13" s="80" t="str">
        <x:v>RevenueCat — purchases / entitlements</x:v>
      </x:c>
      <x:c r="B13" s="80" t="str">
        <x:v>RevenueCat Pricing &amp; Docs</x:v>
      </x:c>
      <x:c r="C13" s="80" t="str">
        <x:v>https://www.revenuecat.com/pricing</x:v>
      </x:c>
      <x:c r="D13" s="80" t="str">
        <x:v>2026-09-18</x:v>
      </x:c>
      <x:c r="E13" s="80" t="str">
        <x:v>Gratuit jusqu'à 2 500 USD MTR/mois puis 1% du MTR; utilisé comme coût variable de monétisation.</x:v>
      </x:c>
    </x:row>
    <x:row r="14">
      <x:c r="A14" s="80" t="str">
        <x:v>RevenueCat — Android non-consumable / restore</x:v>
      </x:c>
      <x:c r="B14" s="80" t="str">
        <x:v>RevenueCat Docs</x:v>
      </x:c>
      <x:c r="C14" s="80" t="str">
        <x:v>https://www.revenuecat.com/docs/getting-started/entitlements/android-products</x:v>
      </x:c>
      <x:c r="D14" s="80" t="str">
        <x:v>2026-09-18</x:v>
      </x:c>
      <x:c r="E14" s="80" t="str">
        <x:v>Wheris Plus doit être configuré non-consommable; restauration des achats prévue dans l'architecture future.</x:v>
      </x:c>
    </x:row>
    <x:row r="15">
      <x:c r="A15" s="80" t="str">
        <x:v>Validation produit / fast save</x:v>
      </x:c>
      <x:c r="B15" s="80" t="str">
        <x:v>WHERIS_MASTER.md + DESIGN/05_USER_FLOWS.md</x:v>
      </x:c>
      <x:c r="C15" s="80" t="str">
        <x:v>Références internes</x:v>
      </x:c>
      <x:c r="D15" s="80" t="str">
        <x:v>2026-09-18</x:v>
      </x:c>
      <x:c r="E15" s="80" t="str">
        <x:v>Métriques activation, fast-save, 1→3→10, D30/D90 et récupération; données à saisir agrégées.</x:v>
      </x:c>
    </x:row>
    <x:row r="16">
      <x:c r="A16" s="80" t="str">
        <x:v>Acquisition payante</x:v>
      </x:c>
      <x:c r="B16" s="80" t="str">
        <x:v>Input utilisateur / données de canal</x:v>
      </x:c>
      <x:c r="C16" s="80" t="str">
        <x:v>Feuille Acquisition</x:v>
      </x:c>
      <x:c r="D16" s="80" t="str">
        <x:v>2026-09-18</x:v>
      </x:c>
      <x:c r="E16" s="80" t="str">
        <x:v>Budget et CPI sont nuls/vides par défaut; aucune rentabilité payante n'est supposée.</x:v>
      </x:c>
    </x:row>
    <x:row r="17">
      <x:c r="A17" s="80" t="str">
        <x:v>Cohortes MAU</x:v>
      </x:c>
      <x:c r="B17" s="80" t="str">
        <x:v>Input analytics agrégé + fallback V0.2</x:v>
      </x:c>
      <x:c r="C17" s="80" t="str">
        <x:v>Feuille Cohortes MAU</x:v>
      </x:c>
      <x:c r="D17" s="80" t="str">
        <x:v>2026-09-18</x:v>
      </x:c>
      <x:c r="E17" s="80" t="str">
        <x:v>Taux observés par âge de cohorte remplacent progressivement le fallback historique de 20%.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8" hidden="0" customWidth="1"/>
    <x:col min="5" max="5" width="28" hidden="0" customWidth="1"/>
    <x:col min="6" max="6" width="46" hidden="0" customWidth="1"/>
  </x:cols>
  <x:sheetData>
    <x:row r="1" ht="15" hidden="0" customHeight="1">
      <x:c r="A1" s="90" t="str">
        <x:v>WHERIS — Validation produit avant monétisation / scale</x:v>
      </x:c>
      <x:c r="B1" s="90"/>
      <x:c r="C1" s="90"/>
      <x:c r="D1" s="90"/>
      <x:c r="E1" s="90"/>
      <x:c r="F1" s="90"/>
      <x:c r="G1" s="80"/>
      <x:c r="H1" s="80"/>
      <x:c r="I1" s="80"/>
      <x:c r="J1" s="80"/>
      <x:c r="K1" s="80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 ht="15" hidden="0" customHeight="1">
      <x:c r="A2" s="80" t="str">
        <x:v>Saisir uniquement des données agrégées/non sensibles. Aucun seuil n'est inventé ici, sauf la cible produit existante de save &lt; 10 s lorsque la position est déjà exploitable.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 ht="26.399999618530273" hidden="0" customHeight="1">
      <x:c r="A3" s="93" t="str">
        <x:v>KPI</x:v>
      </x:c>
      <x:c r="B3" s="93" t="str">
        <x:v>Numérateur / valeur</x:v>
      </x:c>
      <x:c r="C3" s="93" t="str">
        <x:v>Dénominateur</x:v>
      </x:c>
      <x:c r="D3" s="93" t="str">
        <x:v>Taux / valeur calculée</x:v>
      </x:c>
      <x:c r="E3" s="93" t="str">
        <x:v>Cible / lecture</x:v>
      </x:c>
      <x:c r="F3" s="93" t="str">
        <x:v>Source / méthode</x:v>
      </x:c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 ht="15" hidden="0" customHeight="1">
      <x:c r="A4" s="80" t="str">
        <x:v>Activation → 1er lieu</x:v>
      </x:c>
      <x:c r="B4" s="135"/>
      <x:c r="C4" s="135"/>
      <x:c r="D4" s="109" t="str">
        <x:f>IFERROR(B4/C4,"")</x:f>
      </x:c>
      <x:c r="E4" s="80" t="str">
        <x:v>Mesurer avant de fixer un seuil</x:v>
      </x:c>
      <x:c r="F4" s="80" t="str">
        <x:v>Analytics agrégées : premier save / utilisateurs éligibles</x:v>
      </x:c>
      <x:c r="G4" s="80"/>
      <x:c r="H4" s="80"/>
      <x:c r="I4" s="80"/>
      <x:c r="J4" s="8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 ht="26.399999618530273" hidden="0" customHeight="1">
      <x:c r="A5" s="80" t="str">
        <x:v>Time-to-first-value (1er lancement → 1er lieu)</x:v>
      </x:c>
      <x:c r="B5" s="136"/>
      <x:c r="C5" s="135"/>
      <x:c r="D5" s="111" t="str">
        <x:f>IF(B5="","",B5)</x:f>
      </x:c>
      <x:c r="E5" s="80" t="str">
        <x:v>Observer séparément du fast save</x:v>
      </x:c>
      <x:c r="F5" s="80" t="str">
        <x:v>Durée agrégée incluant onboarding + permission + premier save</x:v>
      </x:c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 ht="15" hidden="0" customHeight="1">
      <x:c r="A6" s="80" t="str">
        <x:v>Fast save médian (position exploitable)</x:v>
      </x:c>
      <x:c r="B6" s="136"/>
      <x:c r="C6" s="135"/>
      <x:c r="D6" s="111" t="str">
        <x:f>IF(B6="","",B6)</x:f>
      </x:c>
      <x:c r="E6" s="80" t="str">
        <x:v>&lt; 10 s</x:v>
      </x:c>
      <x:c r="F6" s="80" t="str">
        <x:v>Test d'usage / télémétrie de durée sans coordonnées</x:v>
      </x:c>
      <x:c r="G6" s="80"/>
      <x:c r="H6" s="80"/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 ht="15" hidden="0" customHeight="1">
      <x:c r="A7" s="80" t="str">
        <x:v>Fast save p90 (position exploitable)</x:v>
      </x:c>
      <x:c r="B7" s="135"/>
      <x:c r="C7" s="135"/>
      <x:c r="D7" s="109" t="str">
        <x:f>IF(B7="","",B7)</x:f>
      </x:c>
      <x:c r="E7" s="80" t="str">
        <x:v>Observer, pas de seuil inventé</x:v>
      </x:c>
      <x:c r="F7" s="80" t="str">
        <x:v>Test d'usage / télémétrie de durée sans coordonnées</x:v>
      </x:c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 ht="15" hidden="0" customHeight="1">
      <x:c r="A8" s="80" t="str">
        <x:v>1er lieu → 3e lieu</x:v>
      </x:c>
      <x:c r="B8" s="135"/>
      <x:c r="C8" s="135"/>
      <x:c r="D8" s="109" t="str">
        <x:f>IFERROR(B8/C8,"")</x:f>
      </x:c>
      <x:c r="E8" s="80" t="str">
        <x:v>Mesurer</x:v>
      </x:c>
      <x:c r="F8" s="80" t="str">
        <x:v>Compteurs agrégés de nombre de lieux</x:v>
      </x:c>
      <x:c r="G8" s="8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 ht="15" hidden="0" customHeight="1">
      <x:c r="A9" s="80" t="str">
        <x:v>3e lieu → 10e lieu</x:v>
      </x:c>
      <x:c r="B9" s="135"/>
      <x:c r="C9" s="135"/>
      <x:c r="D9" s="109" t="str">
        <x:f>IFERROR(B9/C9,"")</x:f>
      </x:c>
      <x:c r="E9" s="80" t="str">
        <x:v>Mesurer</x:v>
      </x:c>
      <x:c r="F9" s="80" t="str">
        <x:v>Compteurs agrégés de nombre de lieux</x:v>
      </x:c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 ht="15" hidden="0" customHeight="1">
      <x:c r="A10" s="80" t="str">
        <x:v>Rétention D30</x:v>
      </x:c>
      <x:c r="B10" s="135"/>
      <x:c r="C10" s="135"/>
      <x:c r="D10" s="109" t="str">
        <x:f>IFERROR(B10/C10,"")</x:f>
      </x:c>
      <x:c r="E10" s="80" t="str">
        <x:v>Mesurer</x:v>
      </x:c>
      <x:c r="F10" s="80" t="str">
        <x:v>Cohorte d'installation/activation</x:v>
      </x:c>
      <x:c r="G10" s="80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 ht="15" hidden="0" customHeight="1">
      <x:c r="A11" s="80" t="str">
        <x:v>Rétention D90</x:v>
      </x:c>
      <x:c r="B11" s="135"/>
      <x:c r="C11" s="135"/>
      <x:c r="D11" s="109" t="str">
        <x:f>IFERROR(B11/C11,"")</x:f>
      </x:c>
      <x:c r="E11" s="80" t="str">
        <x:v>Mesurer</x:v>
      </x:c>
      <x:c r="F11" s="80" t="str">
        <x:v>Cohorte d'installation/activation</x:v>
      </x:c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 ht="15" hidden="0" customHeight="1">
      <x:c r="A12" s="80" t="str">
        <x:v>Usage de récupération</x:v>
      </x:c>
      <x:c r="B12" s="135"/>
      <x:c r="C12" s="135"/>
      <x:c r="D12" s="109" t="str">
        <x:f>IFERROR(B12/C12,"")</x:f>
      </x:c>
      <x:c r="E12" s="80" t="str">
        <x:v>Mesurer</x:v>
      </x:c>
      <x:c r="F12" s="80" t="str">
        <x:v>Utilisateurs ayant rouvert/consulté un lieu / utilisateurs actifs</x:v>
      </x:c>
      <x:c r="G12" s="8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 ht="26.399999618530273" hidden="0" customHeight="1">
      <x:c r="A13" s="80" t="str">
        <x:v>« Réflexe Wheris » — qualitatif</x:v>
      </x:c>
      <x:c r="B13" s="135"/>
      <x:c r="C13" s="135"/>
      <x:c r="D13" s="109" t="str">
        <x:f>IF(B13="","",B13)</x:f>
      </x:c>
      <x:c r="E13" s="80" t="str">
        <x:v>Verbatim / synthèse, pas % par défaut</x:v>
      </x:c>
      <x:c r="F13" s="80" t="str">
        <x:v>Entretien ou question standardisée seulement si un protocole explicite est défini</x:v>
      </x:c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 ht="15" hidden="0" customHeight="1">
      <x:c r="A14" s="80" t="str">
        <x:v>Échec de sauvegarde</x:v>
      </x:c>
      <x:c r="B14" s="135"/>
      <x:c r="C14" s="135"/>
      <x:c r="D14" s="109" t="str">
        <x:f>IFERROR(B14/C14,"")</x:f>
      </x:c>
      <x:c r="E14" s="80" t="str">
        <x:v>À minimiser</x:v>
      </x:c>
      <x:c r="F14" s="80" t="str">
        <x:v>Échecs de persistance / tentatives</x:v>
      </x:c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 ht="15" hidden="0" customHeight="1">
      <x:c r="A15" s="80" t="str">
        <x:v>Retry réussi après échec</x:v>
      </x:c>
      <x:c r="B15" s="80"/>
      <x:c r="C15" s="80"/>
      <x:c r="D15" s="80" t="str">
        <x:f>IFERROR(B15/C15,"")</x:f>
      </x:c>
      <x:c r="E15" s="80" t="str">
        <x:v>À suivre</x:v>
      </x:c>
      <x:c r="F15" s="80" t="str">
        <x:v>Retries réussis / retries tentés</x:v>
      </x:c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 ht="15" hidden="0" customHeight="1">
      <x:c r="A16" s="80"/>
      <x:c r="B16" s="80"/>
      <x:c r="C16" s="80"/>
      <x:c r="D16" s="80"/>
      <x:c r="E16" s="80"/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 ht="15" hidden="0" customHeight="1">
      <x:c r="A17" s="10" t="str">
        <x:v>Économie et readiness acquisition — diagnostics</x:v>
      </x:c>
      <x:c r="B17" s="10"/>
      <x:c r="C17" s="10"/>
      <x:c r="D17" s="10"/>
      <x:c r="E17" s="10"/>
      <x:c r="F17" s="1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 ht="15" hidden="0" customHeight="1">
      <x:c r="A18" s="80" t="str">
        <x:v>Revenu net / installation 36m — Base</x:v>
      </x:c>
      <x:c r="B18" s="80"/>
      <x:c r="C18" s="80"/>
      <x:c r="D18" s="112" t="n">
        <x:f>'Synthèse'!B15</x:f>
        <x:v>0.4257704328981153</x:v>
      </x:c>
      <x:c r="E18" s="80" t="str">
        <x:v>Diagnostic, pas LTV définitive</x:v>
      </x:c>
      <x:c r="F18" s="80" t="str">
        <x:v>Lien Synthèse</x:v>
      </x:c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 ht="26.399999618530273" hidden="0" customHeight="1">
      <x:c r="A19" s="80" t="str">
        <x:v>Contribution produit avant fondateur / installation — Base</x:v>
      </x:c>
      <x:c r="B19" s="80"/>
      <x:c r="C19" s="80"/>
      <x:c r="D19" s="112" t="n">
        <x:f>IFERROR('Synthèse'!B9/'Synthèse'!B5,0)</x:f>
        <x:v>0.26395693800484155</x:v>
      </x:c>
      <x:c r="E19" s="80" t="str">
        <x:v>Plafond théorique avant CAC / coûts fixes</x:v>
      </x:c>
      <x:c r="F19" s="80" t="str">
        <x:v>Lien Synthèse</x:v>
      </x:c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 ht="15" hidden="0" customHeight="1">
      <x:c r="A20" s="80" t="str">
        <x:v>Dépense acquisition payante — Base</x:v>
      </x:c>
      <x:c r="B20" s="80"/>
      <x:c r="C20" s="80"/>
      <x:c r="D20" s="112" t="n">
        <x:f>SUM(Acquisition!H4:H39)</x:f>
        <x:v>0</x:v>
      </x:c>
      <x:c r="E20" s="80" t="str">
        <x:v>0 par défaut</x:v>
      </x:c>
      <x:c r="F20" s="80" t="str">
        <x:v>Somme des budgets Acquisition</x:v>
      </x:c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 ht="15" hidden="0" customHeight="1">
      <x:c r="A21" s="80" t="str">
        <x:v>Installations payées — Base</x:v>
      </x:c>
      <x:c r="B21" s="80"/>
      <x:c r="C21" s="80"/>
      <x:c r="D21" s="113" t="n">
        <x:f>SUM(Acquisition!J4:J39)</x:f>
        <x:v>0</x:v>
      </x:c>
      <x:c r="E21" s="80" t="str">
        <x:v>0 tant que CPI non renseigné</x:v>
      </x:c>
      <x:c r="F21" s="80" t="str">
        <x:v>Budget / CPI</x:v>
      </x:c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 ht="26.399999618530273" hidden="0" customHeight="1">
      <x:c r="A22" s="80" t="str">
        <x:v>CPI payé — Base</x:v>
      </x:c>
      <x:c r="B22" s="80"/>
      <x:c r="C22" s="80"/>
      <x:c r="D22" s="112" t="str">
        <x:f>IFERROR(D20/D21,"")</x:f>
      </x:c>
      <x:c r="E22" s="80" t="str">
        <x:v>À comparer à contribution par cohorte, pas au CA brut</x:v>
      </x:c>
      <x:c r="F22" s="80" t="str">
        <x:v>Dépense payée / installs payées</x:v>
      </x:c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 ht="15" hidden="0" customHeight="1">
      <x:c r="A23" s="80" t="str">
        <x:v>Âges de cohorte MAU observés</x:v>
      </x:c>
      <x:c r="B23" s="80"/>
      <x:c r="C23" s="80"/>
      <x:c r="D23" s="114" t="n">
        <x:f>COUNT('Cohortes MAU'!C4:C39)</x:f>
        <x:v>0</x:v>
      </x:c>
      <x:c r="E23" s="80" t="str">
        <x:v>0 = fallback historique uniquement</x:v>
      </x:c>
      <x:c r="F23" s="80" t="str">
        <x:v>Nombre de taux observés saisis</x:v>
      </x:c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 ht="15" hidden="0" customHeight="1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 ht="15" hidden="0" customHeight="1">
      <x:c r="A25" s="107" t="str">
        <x:v>Gate de décision : ne pas conclure à la viabilité depuis les installations seules. Valider d'abord usage et habitude, puis monétisation, puis economics d'acquisition.</x:v>
      </x:c>
      <x:c r="B25" s="107"/>
      <x:c r="C25" s="107"/>
      <x:c r="D25" s="107"/>
      <x:c r="E25" s="107"/>
      <x:c r="F25" s="107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 ht="15" hidden="0" customHeight="1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 ht="15" hidden="0" customHeight="1">
      <x:c r="A27" s="143" t="str">
        <x:v>Funnel observé — diagnostic (ne pilote pas encore le P&amp;L V0.3)</x:v>
      </x:c>
      <x:c r="B27" s="143"/>
      <x:c r="C27" s="143"/>
      <x:c r="D27" s="143"/>
      <x:c r="E27" s="143"/>
      <x:c r="F27" s="143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 ht="26.399999618530273" hidden="0" customHeight="1">
      <x:c r="A28" s="143" t="str">
        <x:v>Étape observée</x:v>
      </x:c>
      <x:c r="B28" s="143" t="str">
        <x:v>Utilisateurs étape</x:v>
      </x:c>
      <x:c r="C28" s="143" t="str">
        <x:v>Utilisateurs étape précédente</x:v>
      </x:c>
      <x:c r="D28" s="143" t="str">
        <x:v>Conversion</x:v>
      </x:c>
      <x:c r="E28" s="143" t="str">
        <x:v>Lecture</x:v>
      </x:c>
      <x:c r="F28" s="143" t="str">
        <x:v>Source / méthode</x:v>
      </x:c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 ht="15" hidden="0" customHeight="1">
      <x:c r="A29" s="80" t="str">
        <x:v>1er lieu enregistré</x:v>
      </x:c>
      <x:c r="B29" s="145"/>
      <x:c r="C29" s="145"/>
      <x:c r="D29" s="85" t="str">
        <x:f>IFERROR(B29/C29,"")</x:f>
      </x:c>
      <x:c r="E29" s="80" t="str">
        <x:v>Activation</x:v>
      </x:c>
      <x:c r="F29" s="80" t="str">
        <x:v>Utilisateurs activés / utilisateurs éligibles</x:v>
      </x:c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 ht="15" hidden="0" customHeight="1">
      <x:c r="A30" s="80" t="str">
        <x:v>3e lieu enregistré</x:v>
      </x:c>
      <x:c r="B30" s="145"/>
      <x:c r="C30" s="145"/>
      <x:c r="D30" s="85" t="str">
        <x:f>IFERROR(B30/C30,"")</x:f>
      </x:c>
      <x:c r="E30" s="80" t="str">
        <x:v>Habitude initiale</x:v>
      </x:c>
      <x:c r="F30" s="80" t="str">
        <x:v>Utilisateurs ≥3 lieux / activés</x:v>
      </x:c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 ht="15" hidden="0" customHeight="1">
      <x:c r="A31" s="80" t="str">
        <x:v>10e lieu enregistré</x:v>
      </x:c>
      <x:c r="B31" s="145"/>
      <x:c r="C31" s="145"/>
      <x:c r="D31" s="85" t="str">
        <x:f>IFERROR(B31/C31,"")</x:f>
      </x:c>
      <x:c r="E31" s="80" t="str">
        <x:v>Usage répété</x:v>
      </x:c>
      <x:c r="F31" s="80" t="str">
        <x:v>Utilisateurs ≥10 lieux / ≥3 lieux</x:v>
      </x:c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 ht="15" hidden="0" customHeight="1">
      <x:c r="A32" s="80" t="str">
        <x:v>Limite Free atteinte</x:v>
      </x:c>
      <x:c r="B32" s="145"/>
      <x:c r="C32" s="145"/>
      <x:c r="D32" s="85" t="str">
        <x:f>IFERROR(B32/C32,"")</x:f>
      </x:c>
      <x:c r="E32" s="80" t="str">
        <x:v>Valeur démontrée avant offre</x:v>
      </x:c>
      <x:c r="F32" s="80" t="str">
        <x:v>À renseigner avec la limite Free réellement testée</x:v>
      </x:c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 ht="15" hidden="0" customHeight="1">
      <x:c r="A33" s="80" t="str">
        <x:v>Offre commerciale vue</x:v>
      </x:c>
      <x:c r="B33" s="145"/>
      <x:c r="C33" s="145"/>
      <x:c r="D33" s="85" t="str">
        <x:f>IFERROR(B33/C33,"")</x:f>
      </x:c>
      <x:c r="E33" s="80" t="str">
        <x:v>Exposition après valeur</x:v>
      </x:c>
      <x:c r="F33" s="80" t="str">
        <x:v>Impressions offre non bloquantes / utilisateurs éligibles</x:v>
      </x:c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 ht="15" hidden="0" customHeight="1">
      <x:c r="A34" s="80" t="str">
        <x:v>Achat Plus</x:v>
      </x:c>
      <x:c r="B34" s="145"/>
      <x:c r="C34" s="145"/>
      <x:c r="D34" s="85" t="str">
        <x:f>IFERROR(B34/C34,"")</x:f>
      </x:c>
      <x:c r="E34" s="80" t="str">
        <x:v>Conversion commerciale</x:v>
      </x:c>
      <x:c r="F34" s="80" t="str">
        <x:v>Acheteurs Plus / utilisateurs exposés à l'offre</x:v>
      </x:c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 ht="15" hidden="0" customHeight="1">
      <x:c r="A35" s="80" t="str">
        <x:v>Premium direct</x:v>
      </x:c>
      <x:c r="B35" s="145"/>
      <x:c r="C35" s="145"/>
      <x:c r="D35" s="85" t="str">
        <x:f>IFERROR(B35/C35,"")</x:f>
      </x:c>
      <x:c r="E35" s="80" t="str">
        <x:v>Conversion Premium</x:v>
      </x:c>
      <x:c r="F35" s="80" t="str">
        <x:v>Nouveaux Premium directs / utilisateurs exposés à l'offre</x:v>
      </x:c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</x:sheetData>
  <x:mergeCells>
    <x:mergeCell ref="A1:F1"/>
    <x:mergeCell ref="A2:F2"/>
    <x:mergeCell ref="A17:F17"/>
    <x:mergeCell ref="A25:F25"/>
    <x:mergeCell ref="A27:F2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7" hidden="0" customWidth="1"/>
    <x:col min="7" max="7" width="17" hidden="0" customWidth="1"/>
    <x:col min="12" max="12" width="17" hidden="0" customWidth="1"/>
    <x:col min="3" max="3" width="14" hidden="0" customWidth="1"/>
    <x:col min="8" max="8" width="14" hidden="0" customWidth="1"/>
    <x:col min="13" max="13" width="14" hidden="0" customWidth="1"/>
    <x:col min="4" max="4" width="14" hidden="0" customWidth="1"/>
    <x:col min="9" max="9" width="14" hidden="0" customWidth="1"/>
    <x:col min="14" max="14" width="14" hidden="0" customWidth="1"/>
    <x:col min="5" max="5" width="13" hidden="0" customWidth="1"/>
    <x:col min="6" max="6" width="13" hidden="0" customWidth="1"/>
    <x:col min="10" max="10" width="13" hidden="0" customWidth="1"/>
    <x:col min="11" max="11" width="13" hidden="0" customWidth="1"/>
    <x:col min="15" max="15" width="13" hidden="0" customWidth="1"/>
    <x:col min="16" max="16" width="13" hidden="0" customWidth="1"/>
  </x:cols>
  <x:sheetData>
    <x:row r="1">
      <x:c r="A1" s="90" t="str">
        <x:v>WHERIS — Acquisition par canal : socle organique + paid optionnel</x:v>
      </x:c>
      <x:c r="B1" s="141"/>
      <x:c r="C1" s="90"/>
      <x:c r="D1" s="90"/>
      <x:c r="E1" s="141"/>
      <x:c r="F1" s="141"/>
      <x:c r="G1" s="141"/>
      <x:c r="H1" s="90"/>
      <x:c r="I1" s="90"/>
      <x:c r="J1" s="141"/>
      <x:c r="K1" s="141"/>
      <x:c r="L1" s="141"/>
      <x:c r="M1" s="90"/>
      <x:c r="N1" s="90"/>
      <x:c r="O1" s="141"/>
      <x:c r="P1" s="141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80" t="str">
        <x:v>Les trajectoires organiques reproduisent les hypothèses historiques. Les colonnes Budget paid et CPI sont des inputs utilisateur, nuls/vides par défaut : aucune acquisition payante n'est supposée rentable silencieusement.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93" t="str">
        <x:v>Mois</x:v>
      </x:c>
      <x:c r="B3" s="93" t="str">
        <x:v>Prudent — organique</x:v>
      </x:c>
      <x:c r="C3" s="93" t="str">
        <x:v>Budget paid €</x:v>
      </x:c>
      <x:c r="D3" s="93" t="str">
        <x:v>CPI € / install</x:v>
      </x:c>
      <x:c r="E3" s="93" t="str">
        <x:v>Paid installs</x:v>
      </x:c>
      <x:c r="F3" s="93" t="str">
        <x:v>Total installs</x:v>
      </x:c>
      <x:c r="G3" s="93" t="str">
        <x:v>Base — organique</x:v>
      </x:c>
      <x:c r="H3" s="93" t="str">
        <x:v>Budget paid €</x:v>
      </x:c>
      <x:c r="I3" s="93" t="str">
        <x:v>CPI € / install</x:v>
      </x:c>
      <x:c r="J3" s="93" t="str">
        <x:v>Paid installs</x:v>
      </x:c>
      <x:c r="K3" s="93" t="str">
        <x:v>Total installs</x:v>
      </x:c>
      <x:c r="L3" s="93" t="str">
        <x:v>Ambitieux — organique</x:v>
      </x:c>
      <x:c r="M3" s="93" t="str">
        <x:v>Budget paid €</x:v>
      </x:c>
      <x:c r="N3" s="93" t="str">
        <x:v>CPI € / install</x:v>
      </x:c>
      <x:c r="O3" s="93" t="str">
        <x:v>Paid installs</x:v>
      </x:c>
      <x:c r="P3" s="93" t="str">
        <x:v>Total installs</x:v>
      </x:c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80" t="n">
        <x:v>1</x:v>
      </x:c>
      <x:c r="B4" s="125" t="n">
        <x:f>'Hypothèses'!$B$35</x:f>
        <x:v>1000</x:v>
      </x:c>
      <x:c r="C4" s="126" t="n">
        <x:v>0</x:v>
      </x:c>
      <x:c r="D4" s="127"/>
      <x:c r="E4" s="128" t="n">
        <x:f>IF(OR(C4=0,D4=""),0,C4/D4)</x:f>
        <x:v>0</x:v>
      </x:c>
      <x:c r="F4" s="128" t="n">
        <x:f>B4+E4</x:f>
        <x:v>1000</x:v>
      </x:c>
      <x:c r="G4" s="125" t="n">
        <x:f>'Hypothèses'!$C$35</x:f>
        <x:v>2000</x:v>
      </x:c>
      <x:c r="H4" s="126" t="n">
        <x:v>0</x:v>
      </x:c>
      <x:c r="I4" s="127"/>
      <x:c r="J4" s="128" t="n">
        <x:f>IF(OR(H4=0,I4=""),0,H4/I4)</x:f>
        <x:v>0</x:v>
      </x:c>
      <x:c r="K4" s="128" t="n">
        <x:f>G4+J4</x:f>
        <x:v>2000</x:v>
      </x:c>
      <x:c r="L4" s="125" t="n">
        <x:f>'Hypothèses'!$D$35</x:f>
        <x:v>3000</x:v>
      </x:c>
      <x:c r="M4" s="126" t="n">
        <x:v>0</x:v>
      </x:c>
      <x:c r="N4" s="127"/>
      <x:c r="O4" s="128" t="n">
        <x:f>IF(OR(M4=0,N4=""),0,M4/N4)</x:f>
        <x:v>0</x:v>
      </x:c>
      <x:c r="P4" s="128" t="n">
        <x:f>L4+O4</x:f>
        <x:v>3000</x:v>
      </x:c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0" t="n">
        <x:v>2</x:v>
      </x:c>
      <x:c r="B5" s="125" t="n">
        <x:f>B4*(1+'Hypothèses'!$B$36)</x:f>
        <x:v>1050</x:v>
      </x:c>
      <x:c r="C5" s="126" t="n">
        <x:v>0</x:v>
      </x:c>
      <x:c r="D5" s="127"/>
      <x:c r="E5" s="128" t="n">
        <x:f>IF(OR(C5=0,D5=""),0,C5/D5)</x:f>
        <x:v>0</x:v>
      </x:c>
      <x:c r="F5" s="128" t="n">
        <x:f>B5+E5</x:f>
        <x:v>1050</x:v>
      </x:c>
      <x:c r="G5" s="125" t="n">
        <x:f>G4*(1+'Hypothèses'!$C$36)</x:f>
        <x:v>2160</x:v>
      </x:c>
      <x:c r="H5" s="126" t="n">
        <x:v>0</x:v>
      </x:c>
      <x:c r="I5" s="127"/>
      <x:c r="J5" s="128" t="n">
        <x:f>IF(OR(H5=0,I5=""),0,H5/I5)</x:f>
        <x:v>0</x:v>
      </x:c>
      <x:c r="K5" s="128" t="n">
        <x:f>G5+J5</x:f>
        <x:v>2160</x:v>
      </x:c>
      <x:c r="L5" s="125" t="n">
        <x:f>L4*(1+'Hypothèses'!$D$36)</x:f>
        <x:v>3300.0000000000005</x:v>
      </x:c>
      <x:c r="M5" s="126" t="n">
        <x:v>0</x:v>
      </x:c>
      <x:c r="N5" s="127"/>
      <x:c r="O5" s="128" t="n">
        <x:f>IF(OR(M5=0,N5=""),0,M5/N5)</x:f>
        <x:v>0</x:v>
      </x:c>
      <x:c r="P5" s="128" t="n">
        <x:f>L5+O5</x:f>
        <x:v>3300.0000000000005</x:v>
      </x:c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0" t="n">
        <x:v>3</x:v>
      </x:c>
      <x:c r="B6" s="125" t="n">
        <x:f>B5*(1+'Hypothèses'!$B$36)</x:f>
        <x:v>1102.5</x:v>
      </x:c>
      <x:c r="C6" s="126" t="n">
        <x:v>0</x:v>
      </x:c>
      <x:c r="D6" s="127"/>
      <x:c r="E6" s="128" t="n">
        <x:f>IF(OR(C6=0,D6=""),0,C6/D6)</x:f>
        <x:v>0</x:v>
      </x:c>
      <x:c r="F6" s="128" t="n">
        <x:f>B6+E6</x:f>
        <x:v>1102.5</x:v>
      </x:c>
      <x:c r="G6" s="125" t="n">
        <x:f>G5*(1+'Hypothèses'!$C$36)</x:f>
        <x:v>2332.8</x:v>
      </x:c>
      <x:c r="H6" s="126" t="n">
        <x:v>0</x:v>
      </x:c>
      <x:c r="I6" s="127"/>
      <x:c r="J6" s="128" t="n">
        <x:f>IF(OR(H6=0,I6=""),0,H6/I6)</x:f>
        <x:v>0</x:v>
      </x:c>
      <x:c r="K6" s="128" t="n">
        <x:f>G6+J6</x:f>
        <x:v>2332.8</x:v>
      </x:c>
      <x:c r="L6" s="125" t="n">
        <x:f>L5*(1+'Hypothèses'!$D$36)</x:f>
        <x:v>3630.000000000001</x:v>
      </x:c>
      <x:c r="M6" s="126" t="n">
        <x:v>0</x:v>
      </x:c>
      <x:c r="N6" s="127"/>
      <x:c r="O6" s="128" t="n">
        <x:f>IF(OR(M6=0,N6=""),0,M6/N6)</x:f>
        <x:v>0</x:v>
      </x:c>
      <x:c r="P6" s="128" t="n">
        <x:f>L6+O6</x:f>
        <x:v>3630.000000000001</x:v>
      </x:c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0" t="n">
        <x:v>4</x:v>
      </x:c>
      <x:c r="B7" s="125" t="n">
        <x:f>B6*(1+'Hypothèses'!$B$36)</x:f>
        <x:v>1157.625</x:v>
      </x:c>
      <x:c r="C7" s="126" t="n">
        <x:v>0</x:v>
      </x:c>
      <x:c r="D7" s="127"/>
      <x:c r="E7" s="128" t="n">
        <x:f>IF(OR(C7=0,D7=""),0,C7/D7)</x:f>
        <x:v>0</x:v>
      </x:c>
      <x:c r="F7" s="128" t="n">
        <x:f>B7+E7</x:f>
        <x:v>1157.625</x:v>
      </x:c>
      <x:c r="G7" s="125" t="n">
        <x:f>G6*(1+'Hypothèses'!$C$36)</x:f>
        <x:v>2519.4240000000004</x:v>
      </x:c>
      <x:c r="H7" s="126" t="n">
        <x:v>0</x:v>
      </x:c>
      <x:c r="I7" s="127"/>
      <x:c r="J7" s="128" t="n">
        <x:f>IF(OR(H7=0,I7=""),0,H7/I7)</x:f>
        <x:v>0</x:v>
      </x:c>
      <x:c r="K7" s="128" t="n">
        <x:f>G7+J7</x:f>
        <x:v>2519.4240000000004</x:v>
      </x:c>
      <x:c r="L7" s="125" t="n">
        <x:f>L6*(1+'Hypothèses'!$D$36)</x:f>
        <x:v>3993.0000000000014</x:v>
      </x:c>
      <x:c r="M7" s="126" t="n">
        <x:v>0</x:v>
      </x:c>
      <x:c r="N7" s="127"/>
      <x:c r="O7" s="128" t="n">
        <x:f>IF(OR(M7=0,N7=""),0,M7/N7)</x:f>
        <x:v>0</x:v>
      </x:c>
      <x:c r="P7" s="128" t="n">
        <x:f>L7+O7</x:f>
        <x:v>3993.0000000000014</x:v>
      </x:c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80" t="n">
        <x:v>5</x:v>
      </x:c>
      <x:c r="B8" s="125" t="n">
        <x:f>B7*(1+'Hypothèses'!$B$36)</x:f>
        <x:v>1215.5062500000001</x:v>
      </x:c>
      <x:c r="C8" s="126" t="n">
        <x:v>0</x:v>
      </x:c>
      <x:c r="D8" s="127"/>
      <x:c r="E8" s="128" t="n">
        <x:f>IF(OR(C8=0,D8=""),0,C8/D8)</x:f>
        <x:v>0</x:v>
      </x:c>
      <x:c r="F8" s="128" t="n">
        <x:f>B8+E8</x:f>
        <x:v>1215.5062500000001</x:v>
      </x:c>
      <x:c r="G8" s="125" t="n">
        <x:f>G7*(1+'Hypothèses'!$C$36)</x:f>
        <x:v>2720.9779200000007</x:v>
      </x:c>
      <x:c r="H8" s="126" t="n">
        <x:v>0</x:v>
      </x:c>
      <x:c r="I8" s="127"/>
      <x:c r="J8" s="128" t="n">
        <x:f>IF(OR(H8=0,I8=""),0,H8/I8)</x:f>
        <x:v>0</x:v>
      </x:c>
      <x:c r="K8" s="128" t="n">
        <x:f>G8+J8</x:f>
        <x:v>2720.9779200000007</x:v>
      </x:c>
      <x:c r="L8" s="125" t="n">
        <x:f>L7*(1+'Hypothèses'!$D$36)</x:f>
        <x:v>4392.300000000002</x:v>
      </x:c>
      <x:c r="M8" s="126" t="n">
        <x:v>0</x:v>
      </x:c>
      <x:c r="N8" s="127"/>
      <x:c r="O8" s="128" t="n">
        <x:f>IF(OR(M8=0,N8=""),0,M8/N8)</x:f>
        <x:v>0</x:v>
      </x:c>
      <x:c r="P8" s="128" t="n">
        <x:f>L8+O8</x:f>
        <x:v>4392.300000000002</x:v>
      </x:c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0" t="n">
        <x:v>6</x:v>
      </x:c>
      <x:c r="B9" s="125" t="n">
        <x:f>B8*(1+'Hypothèses'!$B$36)</x:f>
        <x:v>1276.2815625000003</x:v>
      </x:c>
      <x:c r="C9" s="126" t="n">
        <x:v>0</x:v>
      </x:c>
      <x:c r="D9" s="127"/>
      <x:c r="E9" s="128" t="n">
        <x:f>IF(OR(C9=0,D9=""),0,C9/D9)</x:f>
        <x:v>0</x:v>
      </x:c>
      <x:c r="F9" s="128" t="n">
        <x:f>B9+E9</x:f>
        <x:v>1276.2815625000003</x:v>
      </x:c>
      <x:c r="G9" s="125" t="n">
        <x:f>G8*(1+'Hypothèses'!$C$36)</x:f>
        <x:v>2938.656153600001</x:v>
      </x:c>
      <x:c r="H9" s="126" t="n">
        <x:v>0</x:v>
      </x:c>
      <x:c r="I9" s="127"/>
      <x:c r="J9" s="128" t="n">
        <x:f>IF(OR(H9=0,I9=""),0,H9/I9)</x:f>
        <x:v>0</x:v>
      </x:c>
      <x:c r="K9" s="128" t="n">
        <x:f>G9+J9</x:f>
        <x:v>2938.656153600001</x:v>
      </x:c>
      <x:c r="L9" s="125" t="n">
        <x:f>L8*(1+'Hypothèses'!$D$36)</x:f>
        <x:v>4831.5300000000025</x:v>
      </x:c>
      <x:c r="M9" s="126" t="n">
        <x:v>0</x:v>
      </x:c>
      <x:c r="N9" s="127"/>
      <x:c r="O9" s="128" t="n">
        <x:f>IF(OR(M9=0,N9=""),0,M9/N9)</x:f>
        <x:v>0</x:v>
      </x:c>
      <x:c r="P9" s="128" t="n">
        <x:f>L9+O9</x:f>
        <x:v>4831.5300000000025</x:v>
      </x:c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0" t="n">
        <x:v>7</x:v>
      </x:c>
      <x:c r="B10" s="125" t="n">
        <x:f>B9*(1+'Hypothèses'!$B$36)</x:f>
        <x:v>1340.0956406250004</x:v>
      </x:c>
      <x:c r="C10" s="126" t="n">
        <x:v>0</x:v>
      </x:c>
      <x:c r="D10" s="127"/>
      <x:c r="E10" s="128" t="n">
        <x:f>IF(OR(C10=0,D10=""),0,C10/D10)</x:f>
        <x:v>0</x:v>
      </x:c>
      <x:c r="F10" s="128" t="n">
        <x:f>B10+E10</x:f>
        <x:v>1340.0956406250004</x:v>
      </x:c>
      <x:c r="G10" s="125" t="n">
        <x:f>G9*(1+'Hypothèses'!$C$36)</x:f>
        <x:v>3173.748645888001</x:v>
      </x:c>
      <x:c r="H10" s="126" t="n">
        <x:v>0</x:v>
      </x:c>
      <x:c r="I10" s="127"/>
      <x:c r="J10" s="128" t="n">
        <x:f>IF(OR(H10=0,I10=""),0,H10/I10)</x:f>
        <x:v>0</x:v>
      </x:c>
      <x:c r="K10" s="128" t="n">
        <x:f>G10+J10</x:f>
        <x:v>3173.748645888001</x:v>
      </x:c>
      <x:c r="L10" s="125" t="n">
        <x:f>L9*(1+'Hypothèses'!$D$36)</x:f>
        <x:v>5314.683000000003</x:v>
      </x:c>
      <x:c r="M10" s="126" t="n">
        <x:v>0</x:v>
      </x:c>
      <x:c r="N10" s="127"/>
      <x:c r="O10" s="128" t="n">
        <x:f>IF(OR(M10=0,N10=""),0,M10/N10)</x:f>
        <x:v>0</x:v>
      </x:c>
      <x:c r="P10" s="128" t="n">
        <x:f>L10+O10</x:f>
        <x:v>5314.683000000003</x:v>
      </x:c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0" t="n">
        <x:v>8</x:v>
      </x:c>
      <x:c r="B11" s="125" t="n">
        <x:f>B10*(1+'Hypothèses'!$B$36)</x:f>
        <x:v>1407.1004226562504</x:v>
      </x:c>
      <x:c r="C11" s="126" t="n">
        <x:v>0</x:v>
      </x:c>
      <x:c r="D11" s="127"/>
      <x:c r="E11" s="128" t="n">
        <x:f>IF(OR(C11=0,D11=""),0,C11/D11)</x:f>
        <x:v>0</x:v>
      </x:c>
      <x:c r="F11" s="128" t="n">
        <x:f>B11+E11</x:f>
        <x:v>1407.1004226562504</x:v>
      </x:c>
      <x:c r="G11" s="125" t="n">
        <x:f>G10*(1+'Hypothèses'!$C$36)</x:f>
        <x:v>3427.6485375590414</x:v>
      </x:c>
      <x:c r="H11" s="126" t="n">
        <x:v>0</x:v>
      </x:c>
      <x:c r="I11" s="127"/>
      <x:c r="J11" s="128" t="n">
        <x:f>IF(OR(H11=0,I11=""),0,H11/I11)</x:f>
        <x:v>0</x:v>
      </x:c>
      <x:c r="K11" s="128" t="n">
        <x:f>G11+J11</x:f>
        <x:v>3427.6485375590414</x:v>
      </x:c>
      <x:c r="L11" s="125" t="n">
        <x:f>L10*(1+'Hypothèses'!$D$36)</x:f>
        <x:v>5846.151300000003</x:v>
      </x:c>
      <x:c r="M11" s="126" t="n">
        <x:v>0</x:v>
      </x:c>
      <x:c r="N11" s="127"/>
      <x:c r="O11" s="128" t="n">
        <x:f>IF(OR(M11=0,N11=""),0,M11/N11)</x:f>
        <x:v>0</x:v>
      </x:c>
      <x:c r="P11" s="128" t="n">
        <x:f>L11+O11</x:f>
        <x:v>5846.151300000003</x:v>
      </x:c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80" t="n">
        <x:v>9</x:v>
      </x:c>
      <x:c r="B12" s="125" t="n">
        <x:f>B11*(1+'Hypothèses'!$B$36)</x:f>
        <x:v>1477.455443789063</x:v>
      </x:c>
      <x:c r="C12" s="126" t="n">
        <x:v>0</x:v>
      </x:c>
      <x:c r="D12" s="127"/>
      <x:c r="E12" s="128" t="n">
        <x:f>IF(OR(C12=0,D12=""),0,C12/D12)</x:f>
        <x:v>0</x:v>
      </x:c>
      <x:c r="F12" s="128" t="n">
        <x:f>B12+E12</x:f>
        <x:v>1477.455443789063</x:v>
      </x:c>
      <x:c r="G12" s="125" t="n">
        <x:f>G11*(1+'Hypothèses'!$C$36)</x:f>
        <x:v>3701.860420563765</x:v>
      </x:c>
      <x:c r="H12" s="126" t="n">
        <x:v>0</x:v>
      </x:c>
      <x:c r="I12" s="127"/>
      <x:c r="J12" s="128" t="n">
        <x:f>IF(OR(H12=0,I12=""),0,H12/I12)</x:f>
        <x:v>0</x:v>
      </x:c>
      <x:c r="K12" s="128" t="n">
        <x:f>G12+J12</x:f>
        <x:v>3701.860420563765</x:v>
      </x:c>
      <x:c r="L12" s="125" t="n">
        <x:f>L11*(1+'Hypothèses'!$D$36)</x:f>
        <x:v>6430.766430000004</x:v>
      </x:c>
      <x:c r="M12" s="126" t="n">
        <x:v>0</x:v>
      </x:c>
      <x:c r="N12" s="127"/>
      <x:c r="O12" s="128" t="n">
        <x:f>IF(OR(M12=0,N12=""),0,M12/N12)</x:f>
        <x:v>0</x:v>
      </x:c>
      <x:c r="P12" s="128" t="n">
        <x:f>L12+O12</x:f>
        <x:v>6430.766430000004</x:v>
      </x:c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0" t="n">
        <x:v>10</x:v>
      </x:c>
      <x:c r="B13" s="125" t="n">
        <x:f>B12*(1+'Hypothèses'!$B$36)</x:f>
        <x:v>1551.3282159785163</x:v>
      </x:c>
      <x:c r="C13" s="126" t="n">
        <x:v>0</x:v>
      </x:c>
      <x:c r="D13" s="127"/>
      <x:c r="E13" s="128" t="n">
        <x:f>IF(OR(C13=0,D13=""),0,C13/D13)</x:f>
        <x:v>0</x:v>
      </x:c>
      <x:c r="F13" s="128" t="n">
        <x:f>B13+E13</x:f>
        <x:v>1551.3282159785163</x:v>
      </x:c>
      <x:c r="G13" s="125" t="n">
        <x:f>G12*(1+'Hypothèses'!$C$36)</x:f>
        <x:v>3998.0092542088664</x:v>
      </x:c>
      <x:c r="H13" s="126" t="n">
        <x:v>0</x:v>
      </x:c>
      <x:c r="I13" s="127"/>
      <x:c r="J13" s="128" t="n">
        <x:f>IF(OR(H13=0,I13=""),0,H13/I13)</x:f>
        <x:v>0</x:v>
      </x:c>
      <x:c r="K13" s="128" t="n">
        <x:f>G13+J13</x:f>
        <x:v>3998.0092542088664</x:v>
      </x:c>
      <x:c r="L13" s="125" t="n">
        <x:f>L12*(1+'Hypothèses'!$D$36)</x:f>
        <x:v>7073.8430730000055</x:v>
      </x:c>
      <x:c r="M13" s="126" t="n">
        <x:v>0</x:v>
      </x:c>
      <x:c r="N13" s="127"/>
      <x:c r="O13" s="128" t="n">
        <x:f>IF(OR(M13=0,N13=""),0,M13/N13)</x:f>
        <x:v>0</x:v>
      </x:c>
      <x:c r="P13" s="128" t="n">
        <x:f>L13+O13</x:f>
        <x:v>7073.8430730000055</x:v>
      </x:c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0" t="n">
        <x:v>11</x:v>
      </x:c>
      <x:c r="B14" s="125" t="n">
        <x:f>B13*(1+'Hypothèses'!$B$36)</x:f>
        <x:v>1628.8946267774422</x:v>
      </x:c>
      <x:c r="C14" s="126" t="n">
        <x:v>0</x:v>
      </x:c>
      <x:c r="D14" s="127"/>
      <x:c r="E14" s="128" t="n">
        <x:f>IF(OR(C14=0,D14=""),0,C14/D14)</x:f>
        <x:v>0</x:v>
      </x:c>
      <x:c r="F14" s="128" t="n">
        <x:f>B14+E14</x:f>
        <x:v>1628.8946267774422</x:v>
      </x:c>
      <x:c r="G14" s="125" t="n">
        <x:f>G13*(1+'Hypothèses'!$C$36)</x:f>
        <x:v>4317.849994545576</x:v>
      </x:c>
      <x:c r="H14" s="126" t="n">
        <x:v>0</x:v>
      </x:c>
      <x:c r="I14" s="127"/>
      <x:c r="J14" s="128" t="n">
        <x:f>IF(OR(H14=0,I14=""),0,H14/I14)</x:f>
        <x:v>0</x:v>
      </x:c>
      <x:c r="K14" s="128" t="n">
        <x:f>G14+J14</x:f>
        <x:v>4317.849994545576</x:v>
      </x:c>
      <x:c r="L14" s="125" t="n">
        <x:f>L13*(1+'Hypothèses'!$D$36)</x:f>
        <x:v>7781.227380300006</x:v>
      </x:c>
      <x:c r="M14" s="126" t="n">
        <x:v>0</x:v>
      </x:c>
      <x:c r="N14" s="127"/>
      <x:c r="O14" s="128" t="n">
        <x:f>IF(OR(M14=0,N14=""),0,M14/N14)</x:f>
        <x:v>0</x:v>
      </x:c>
      <x:c r="P14" s="128" t="n">
        <x:f>L14+O14</x:f>
        <x:v>7781.227380300006</x:v>
      </x:c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0" t="n">
        <x:v>12</x:v>
      </x:c>
      <x:c r="B15" s="125" t="n">
        <x:f>B14*(1+'Hypothèses'!$B$36)</x:f>
        <x:v>1710.3393581163143</x:v>
      </x:c>
      <x:c r="C15" s="126" t="n">
        <x:v>0</x:v>
      </x:c>
      <x:c r="D15" s="127"/>
      <x:c r="E15" s="128" t="n">
        <x:f>IF(OR(C15=0,D15=""),0,C15/D15)</x:f>
        <x:v>0</x:v>
      </x:c>
      <x:c r="F15" s="128" t="n">
        <x:f>B15+E15</x:f>
        <x:v>1710.3393581163143</x:v>
      </x:c>
      <x:c r="G15" s="125" t="n">
        <x:f>G14*(1+'Hypothèses'!$C$36)</x:f>
        <x:v>4663.277994109222</x:v>
      </x:c>
      <x:c r="H15" s="126" t="n">
        <x:v>0</x:v>
      </x:c>
      <x:c r="I15" s="127"/>
      <x:c r="J15" s="128" t="n">
        <x:f>IF(OR(H15=0,I15=""),0,H15/I15)</x:f>
        <x:v>0</x:v>
      </x:c>
      <x:c r="K15" s="128" t="n">
        <x:f>G15+J15</x:f>
        <x:v>4663.277994109222</x:v>
      </x:c>
      <x:c r="L15" s="125" t="n">
        <x:f>L14*(1+'Hypothèses'!$D$36)</x:f>
        <x:v>8559.350118330007</x:v>
      </x:c>
      <x:c r="M15" s="126" t="n">
        <x:v>0</x:v>
      </x:c>
      <x:c r="N15" s="127"/>
      <x:c r="O15" s="128" t="n">
        <x:f>IF(OR(M15=0,N15=""),0,M15/N15)</x:f>
        <x:v>0</x:v>
      </x:c>
      <x:c r="P15" s="128" t="n">
        <x:f>L15+O15</x:f>
        <x:v>8559.350118330007</x:v>
      </x:c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0" t="n">
        <x:v>13</x:v>
      </x:c>
      <x:c r="B16" s="125" t="n">
        <x:f>B15*(1+'Hypothèses'!$B$37)</x:f>
        <x:v>1778.752932440967</x:v>
      </x:c>
      <x:c r="C16" s="126" t="n">
        <x:v>0</x:v>
      </x:c>
      <x:c r="D16" s="127"/>
      <x:c r="E16" s="128" t="n">
        <x:f>IF(OR(C16=0,D16=""),0,C16/D16)</x:f>
        <x:v>0</x:v>
      </x:c>
      <x:c r="F16" s="128" t="n">
        <x:f>B16+E16</x:f>
        <x:v>1778.752932440967</x:v>
      </x:c>
      <x:c r="G16" s="125" t="n">
        <x:f>G15*(1+'Hypothèses'!$C$37)</x:f>
        <x:v>4943.074673755776</x:v>
      </x:c>
      <x:c r="H16" s="126" t="n">
        <x:v>0</x:v>
      </x:c>
      <x:c r="I16" s="127"/>
      <x:c r="J16" s="128" t="n">
        <x:f>IF(OR(H16=0,I16=""),0,H16/I16)</x:f>
        <x:v>0</x:v>
      </x:c>
      <x:c r="K16" s="128" t="n">
        <x:f>G16+J16</x:f>
        <x:v>4943.074673755776</x:v>
      </x:c>
      <x:c r="L16" s="125" t="n">
        <x:f>L15*(1+'Hypothèses'!$D$37)</x:f>
        <x:v>9244.098127796407</x:v>
      </x:c>
      <x:c r="M16" s="126" t="n">
        <x:v>0</x:v>
      </x:c>
      <x:c r="N16" s="127"/>
      <x:c r="O16" s="128" t="n">
        <x:f>IF(OR(M16=0,N16=""),0,M16/N16)</x:f>
        <x:v>0</x:v>
      </x:c>
      <x:c r="P16" s="128" t="n">
        <x:f>L16+O16</x:f>
        <x:v>9244.098127796407</x:v>
      </x:c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0" t="n">
        <x:v>14</x:v>
      </x:c>
      <x:c r="B17" s="125" t="n">
        <x:f>B16*(1+'Hypothèses'!$B$37)</x:f>
        <x:v>1849.9030497386057</x:v>
      </x:c>
      <x:c r="C17" s="126" t="n">
        <x:v>0</x:v>
      </x:c>
      <x:c r="D17" s="127"/>
      <x:c r="E17" s="128" t="n">
        <x:f>IF(OR(C17=0,D17=""),0,C17/D17)</x:f>
        <x:v>0</x:v>
      </x:c>
      <x:c r="F17" s="128" t="n">
        <x:f>B17+E17</x:f>
        <x:v>1849.9030497386057</x:v>
      </x:c>
      <x:c r="G17" s="125" t="n">
        <x:f>G16*(1+'Hypothèses'!$C$37)</x:f>
        <x:v>5239.659154181122</x:v>
      </x:c>
      <x:c r="H17" s="126" t="n">
        <x:v>0</x:v>
      </x:c>
      <x:c r="I17" s="127"/>
      <x:c r="J17" s="128" t="n">
        <x:f>IF(OR(H17=0,I17=""),0,H17/I17)</x:f>
        <x:v>0</x:v>
      </x:c>
      <x:c r="K17" s="128" t="n">
        <x:f>G17+J17</x:f>
        <x:v>5239.659154181122</x:v>
      </x:c>
      <x:c r="L17" s="125" t="n">
        <x:f>L16*(1+'Hypothèses'!$D$37)</x:f>
        <x:v>9983.62597802012</x:v>
      </x:c>
      <x:c r="M17" s="126" t="n">
        <x:v>0</x:v>
      </x:c>
      <x:c r="N17" s="127"/>
      <x:c r="O17" s="128" t="n">
        <x:f>IF(OR(M17=0,N17=""),0,M17/N17)</x:f>
        <x:v>0</x:v>
      </x:c>
      <x:c r="P17" s="128" t="n">
        <x:f>L17+O17</x:f>
        <x:v>9983.62597802012</x:v>
      </x:c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0" t="n">
        <x:v>15</x:v>
      </x:c>
      <x:c r="B18" s="125" t="n">
        <x:f>B17*(1+'Hypothèses'!$B$37)</x:f>
        <x:v>1923.89917172815</x:v>
      </x:c>
      <x:c r="C18" s="126" t="n">
        <x:v>0</x:v>
      </x:c>
      <x:c r="D18" s="127"/>
      <x:c r="E18" s="128" t="n">
        <x:f>IF(OR(C18=0,D18=""),0,C18/D18)</x:f>
        <x:v>0</x:v>
      </x:c>
      <x:c r="F18" s="128" t="n">
        <x:f>B18+E18</x:f>
        <x:v>1923.89917172815</x:v>
      </x:c>
      <x:c r="G18" s="125" t="n">
        <x:f>G17*(1+'Hypothèses'!$C$37)</x:f>
        <x:v>5554.03870343199</x:v>
      </x:c>
      <x:c r="H18" s="126" t="n">
        <x:v>0</x:v>
      </x:c>
      <x:c r="I18" s="127"/>
      <x:c r="J18" s="128" t="n">
        <x:f>IF(OR(H18=0,I18=""),0,H18/I18)</x:f>
        <x:v>0</x:v>
      </x:c>
      <x:c r="K18" s="128" t="n">
        <x:f>G18+J18</x:f>
        <x:v>5554.03870343199</x:v>
      </x:c>
      <x:c r="L18" s="125" t="n">
        <x:f>L17*(1+'Hypothèses'!$D$37)</x:f>
        <x:v>10782.31605626173</x:v>
      </x:c>
      <x:c r="M18" s="126" t="n">
        <x:v>0</x:v>
      </x:c>
      <x:c r="N18" s="127"/>
      <x:c r="O18" s="128" t="n">
        <x:f>IF(OR(M18=0,N18=""),0,M18/N18)</x:f>
        <x:v>0</x:v>
      </x:c>
      <x:c r="P18" s="128" t="n">
        <x:f>L18+O18</x:f>
        <x:v>10782.31605626173</x:v>
      </x:c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0" t="n">
        <x:v>16</x:v>
      </x:c>
      <x:c r="B19" s="125" t="n">
        <x:f>B18*(1+'Hypothèses'!$B$37)</x:f>
        <x:v>2000.855138597276</x:v>
      </x:c>
      <x:c r="C19" s="126" t="n">
        <x:v>0</x:v>
      </x:c>
      <x:c r="D19" s="127"/>
      <x:c r="E19" s="128" t="n">
        <x:f>IF(OR(C19=0,D19=""),0,C19/D19)</x:f>
        <x:v>0</x:v>
      </x:c>
      <x:c r="F19" s="128" t="n">
        <x:f>B19+E19</x:f>
        <x:v>2000.855138597276</x:v>
      </x:c>
      <x:c r="G19" s="125" t="n">
        <x:f>G18*(1+'Hypothèses'!$C$37)</x:f>
        <x:v>5887.28102563791</x:v>
      </x:c>
      <x:c r="H19" s="126" t="n">
        <x:v>0</x:v>
      </x:c>
      <x:c r="I19" s="127"/>
      <x:c r="J19" s="128" t="n">
        <x:f>IF(OR(H19=0,I19=""),0,H19/I19)</x:f>
        <x:v>0</x:v>
      </x:c>
      <x:c r="K19" s="128" t="n">
        <x:f>G19+J19</x:f>
        <x:v>5887.28102563791</x:v>
      </x:c>
      <x:c r="L19" s="125" t="n">
        <x:f>L18*(1+'Hypothèses'!$D$37)</x:f>
        <x:v>11644.90134076267</x:v>
      </x:c>
      <x:c r="M19" s="126" t="n">
        <x:v>0</x:v>
      </x:c>
      <x:c r="N19" s="127"/>
      <x:c r="O19" s="128" t="n">
        <x:f>IF(OR(M19=0,N19=""),0,M19/N19)</x:f>
        <x:v>0</x:v>
      </x:c>
      <x:c r="P19" s="128" t="n">
        <x:f>L19+O19</x:f>
        <x:v>11644.90134076267</x:v>
      </x:c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0" t="n">
        <x:v>17</x:v>
      </x:c>
      <x:c r="B20" s="125" t="n">
        <x:f>B19*(1+'Hypothèses'!$B$37)</x:f>
        <x:v>2080.889344141167</x:v>
      </x:c>
      <x:c r="C20" s="126" t="n">
        <x:v>0</x:v>
      </x:c>
      <x:c r="D20" s="127"/>
      <x:c r="E20" s="128" t="n">
        <x:f>IF(OR(C20=0,D20=""),0,C20/D20)</x:f>
        <x:v>0</x:v>
      </x:c>
      <x:c r="F20" s="128" t="n">
        <x:f>B20+E20</x:f>
        <x:v>2080.889344141167</x:v>
      </x:c>
      <x:c r="G20" s="125" t="n">
        <x:f>G19*(1+'Hypothèses'!$C$37)</x:f>
        <x:v>6240.517887176185</x:v>
      </x:c>
      <x:c r="H20" s="126" t="n">
        <x:v>0</x:v>
      </x:c>
      <x:c r="I20" s="127"/>
      <x:c r="J20" s="128" t="n">
        <x:f>IF(OR(H20=0,I20=""),0,H20/I20)</x:f>
        <x:v>0</x:v>
      </x:c>
      <x:c r="K20" s="128" t="n">
        <x:f>G20+J20</x:f>
        <x:v>6240.517887176185</x:v>
      </x:c>
      <x:c r="L20" s="125" t="n">
        <x:f>L19*(1+'Hypothèses'!$D$37)</x:f>
        <x:v>12576.493448023684</x:v>
      </x:c>
      <x:c r="M20" s="126" t="n">
        <x:v>0</x:v>
      </x:c>
      <x:c r="N20" s="127"/>
      <x:c r="O20" s="128" t="n">
        <x:f>IF(OR(M20=0,N20=""),0,M20/N20)</x:f>
        <x:v>0</x:v>
      </x:c>
      <x:c r="P20" s="128" t="n">
        <x:f>L20+O20</x:f>
        <x:v>12576.493448023684</x:v>
      </x:c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0" t="n">
        <x:v>18</x:v>
      </x:c>
      <x:c r="B21" s="125" t="n">
        <x:f>B20*(1+'Hypothèses'!$B$37)</x:f>
        <x:v>2164.1249179068136</x:v>
      </x:c>
      <x:c r="C21" s="126" t="n">
        <x:v>0</x:v>
      </x:c>
      <x:c r="D21" s="127"/>
      <x:c r="E21" s="128" t="n">
        <x:f>IF(OR(C21=0,D21=""),0,C21/D21)</x:f>
        <x:v>0</x:v>
      </x:c>
      <x:c r="F21" s="128" t="n">
        <x:f>B21+E21</x:f>
        <x:v>2164.1249179068136</x:v>
      </x:c>
      <x:c r="G21" s="125" t="n">
        <x:f>G20*(1+'Hypothèses'!$C$37)</x:f>
        <x:v>6614.948960406756</x:v>
      </x:c>
      <x:c r="H21" s="126" t="n">
        <x:v>0</x:v>
      </x:c>
      <x:c r="I21" s="127"/>
      <x:c r="J21" s="128" t="n">
        <x:f>IF(OR(H21=0,I21=""),0,H21/I21)</x:f>
        <x:v>0</x:v>
      </x:c>
      <x:c r="K21" s="128" t="n">
        <x:f>G21+J21</x:f>
        <x:v>6614.948960406756</x:v>
      </x:c>
      <x:c r="L21" s="125" t="n">
        <x:f>L20*(1+'Hypothèses'!$D$37)</x:f>
        <x:v>13582.61292386558</x:v>
      </x:c>
      <x:c r="M21" s="126" t="n">
        <x:v>0</x:v>
      </x:c>
      <x:c r="N21" s="127"/>
      <x:c r="O21" s="128" t="n">
        <x:f>IF(OR(M21=0,N21=""),0,M21/N21)</x:f>
        <x:v>0</x:v>
      </x:c>
      <x:c r="P21" s="128" t="n">
        <x:f>L21+O21</x:f>
        <x:v>13582.61292386558</x:v>
      </x:c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0" t="n">
        <x:v>19</x:v>
      </x:c>
      <x:c r="B22" s="125" t="n">
        <x:f>B21*(1+'Hypothèses'!$B$37)</x:f>
        <x:v>2250.689914623086</x:v>
      </x:c>
      <x:c r="C22" s="126" t="n">
        <x:v>0</x:v>
      </x:c>
      <x:c r="D22" s="127"/>
      <x:c r="E22" s="128" t="n">
        <x:f>IF(OR(C22=0,D22=""),0,C22/D22)</x:f>
        <x:v>0</x:v>
      </x:c>
      <x:c r="F22" s="128" t="n">
        <x:f>B22+E22</x:f>
        <x:v>2250.689914623086</x:v>
      </x:c>
      <x:c r="G22" s="125" t="n">
        <x:f>G21*(1+'Hypothèses'!$C$37)</x:f>
        <x:v>7011.845898031162</x:v>
      </x:c>
      <x:c r="H22" s="126" t="n">
        <x:v>0</x:v>
      </x:c>
      <x:c r="I22" s="127"/>
      <x:c r="J22" s="128" t="n">
        <x:f>IF(OR(H22=0,I22=""),0,H22/I22)</x:f>
        <x:v>0</x:v>
      </x:c>
      <x:c r="K22" s="128" t="n">
        <x:f>G22+J22</x:f>
        <x:v>7011.845898031162</x:v>
      </x:c>
      <x:c r="L22" s="125" t="n">
        <x:f>L21*(1+'Hypothèses'!$D$37)</x:f>
        <x:v>14669.221957774827</x:v>
      </x:c>
      <x:c r="M22" s="126" t="n">
        <x:v>0</x:v>
      </x:c>
      <x:c r="N22" s="127"/>
      <x:c r="O22" s="128" t="n">
        <x:f>IF(OR(M22=0,N22=""),0,M22/N22)</x:f>
        <x:v>0</x:v>
      </x:c>
      <x:c r="P22" s="128" t="n">
        <x:f>L22+O22</x:f>
        <x:v>14669.221957774827</x:v>
      </x:c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0" t="n">
        <x:v>20</x:v>
      </x:c>
      <x:c r="B23" s="125" t="n">
        <x:f>B22*(1+'Hypothèses'!$B$37)</x:f>
        <x:v>2340.71751120801</x:v>
      </x:c>
      <x:c r="C23" s="126" t="n">
        <x:v>0</x:v>
      </x:c>
      <x:c r="D23" s="127"/>
      <x:c r="E23" s="128" t="n">
        <x:f>IF(OR(C23=0,D23=""),0,C23/D23)</x:f>
        <x:v>0</x:v>
      </x:c>
      <x:c r="F23" s="128" t="n">
        <x:f>B23+E23</x:f>
        <x:v>2340.71751120801</x:v>
      </x:c>
      <x:c r="G23" s="125" t="n">
        <x:f>G22*(1+'Hypothèses'!$C$37)</x:f>
        <x:v>7432.556651913032</x:v>
      </x:c>
      <x:c r="H23" s="126" t="n">
        <x:v>0</x:v>
      </x:c>
      <x:c r="I23" s="127"/>
      <x:c r="J23" s="128" t="n">
        <x:f>IF(OR(H23=0,I23=""),0,H23/I23)</x:f>
        <x:v>0</x:v>
      </x:c>
      <x:c r="K23" s="128" t="n">
        <x:f>G23+J23</x:f>
        <x:v>7432.556651913032</x:v>
      </x:c>
      <x:c r="L23" s="125" t="n">
        <x:f>L22*(1+'Hypothèses'!$D$37)</x:f>
        <x:v>15842.759714396814</x:v>
      </x:c>
      <x:c r="M23" s="126" t="n">
        <x:v>0</x:v>
      </x:c>
      <x:c r="N23" s="127"/>
      <x:c r="O23" s="128" t="n">
        <x:f>IF(OR(M23=0,N23=""),0,M23/N23)</x:f>
        <x:v>0</x:v>
      </x:c>
      <x:c r="P23" s="128" t="n">
        <x:f>L23+O23</x:f>
        <x:v>15842.759714396814</x:v>
      </x:c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0" t="n">
        <x:v>21</x:v>
      </x:c>
      <x:c r="B24" s="125" t="n">
        <x:f>B23*(1+'Hypothèses'!$B$37)</x:f>
        <x:v>2434.3462116563305</x:v>
      </x:c>
      <x:c r="C24" s="126" t="n">
        <x:v>0</x:v>
      </x:c>
      <x:c r="D24" s="127"/>
      <x:c r="E24" s="128" t="n">
        <x:f>IF(OR(C24=0,D24=""),0,C24/D24)</x:f>
        <x:v>0</x:v>
      </x:c>
      <x:c r="F24" s="128" t="n">
        <x:f>B24+E24</x:f>
        <x:v>2434.3462116563305</x:v>
      </x:c>
      <x:c r="G24" s="125" t="n">
        <x:f>G23*(1+'Hypothèses'!$C$37)</x:f>
        <x:v>7878.5100510278135</x:v>
      </x:c>
      <x:c r="H24" s="126" t="n">
        <x:v>0</x:v>
      </x:c>
      <x:c r="I24" s="127"/>
      <x:c r="J24" s="128" t="n">
        <x:f>IF(OR(H24=0,I24=""),0,H24/I24)</x:f>
        <x:v>0</x:v>
      </x:c>
      <x:c r="K24" s="128" t="n">
        <x:f>G24+J24</x:f>
        <x:v>7878.5100510278135</x:v>
      </x:c>
      <x:c r="L24" s="125" t="n">
        <x:f>L23*(1+'Hypothèses'!$D$37)</x:f>
        <x:v>17110.18049154856</x:v>
      </x:c>
      <x:c r="M24" s="126" t="n">
        <x:v>0</x:v>
      </x:c>
      <x:c r="N24" s="127"/>
      <x:c r="O24" s="128" t="n">
        <x:f>IF(OR(M24=0,N24=""),0,M24/N24)</x:f>
        <x:v>0</x:v>
      </x:c>
      <x:c r="P24" s="128" t="n">
        <x:f>L24+O24</x:f>
        <x:v>17110.18049154856</x:v>
      </x:c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0" t="n">
        <x:v>22</x:v>
      </x:c>
      <x:c r="B25" s="125" t="n">
        <x:f>B24*(1+'Hypothèses'!$B$37)</x:f>
        <x:v>2531.7200601225836</x:v>
      </x:c>
      <x:c r="C25" s="126" t="n">
        <x:v>0</x:v>
      </x:c>
      <x:c r="D25" s="127"/>
      <x:c r="E25" s="128" t="n">
        <x:f>IF(OR(C25=0,D25=""),0,C25/D25)</x:f>
        <x:v>0</x:v>
      </x:c>
      <x:c r="F25" s="128" t="n">
        <x:f>B25+E25</x:f>
        <x:v>2531.7200601225836</x:v>
      </x:c>
      <x:c r="G25" s="125" t="n">
        <x:f>G24*(1+'Hypothèses'!$C$37)</x:f>
        <x:v>8351.220654089482</x:v>
      </x:c>
      <x:c r="H25" s="126" t="n">
        <x:v>0</x:v>
      </x:c>
      <x:c r="I25" s="127"/>
      <x:c r="J25" s="128" t="n">
        <x:f>IF(OR(H25=0,I25=""),0,H25/I25)</x:f>
        <x:v>0</x:v>
      </x:c>
      <x:c r="K25" s="128" t="n">
        <x:f>G25+J25</x:f>
        <x:v>8351.220654089482</x:v>
      </x:c>
      <x:c r="L25" s="125" t="n">
        <x:f>L24*(1+'Hypothèses'!$D$37)</x:f>
        <x:v>18478.994930872446</x:v>
      </x:c>
      <x:c r="M25" s="126" t="n">
        <x:v>0</x:v>
      </x:c>
      <x:c r="N25" s="127"/>
      <x:c r="O25" s="128" t="n">
        <x:f>IF(OR(M25=0,N25=""),0,M25/N25)</x:f>
        <x:v>0</x:v>
      </x:c>
      <x:c r="P25" s="128" t="n">
        <x:f>L25+O25</x:f>
        <x:v>18478.994930872446</x:v>
      </x:c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0" t="n">
        <x:v>23</x:v>
      </x:c>
      <x:c r="B26" s="125" t="n">
        <x:f>B25*(1+'Hypothèses'!$B$37)</x:f>
        <x:v>2632.988862527487</x:v>
      </x:c>
      <x:c r="C26" s="126" t="n">
        <x:v>0</x:v>
      </x:c>
      <x:c r="D26" s="127"/>
      <x:c r="E26" s="128" t="n">
        <x:f>IF(OR(C26=0,D26=""),0,C26/D26)</x:f>
        <x:v>0</x:v>
      </x:c>
      <x:c r="F26" s="128" t="n">
        <x:f>B26+E26</x:f>
        <x:v>2632.988862527487</x:v>
      </x:c>
      <x:c r="G26" s="125" t="n">
        <x:f>G25*(1+'Hypothèses'!$C$37)</x:f>
        <x:v>8852.293893334852</x:v>
      </x:c>
      <x:c r="H26" s="126" t="n">
        <x:v>0</x:v>
      </x:c>
      <x:c r="I26" s="127"/>
      <x:c r="J26" s="128" t="n">
        <x:f>IF(OR(H26=0,I26=""),0,H26/I26)</x:f>
        <x:v>0</x:v>
      </x:c>
      <x:c r="K26" s="128" t="n">
        <x:f>G26+J26</x:f>
        <x:v>8852.293893334852</x:v>
      </x:c>
      <x:c r="L26" s="125" t="n">
        <x:f>L25*(1+'Hypothèses'!$D$37)</x:f>
        <x:v>19957.314525342244</x:v>
      </x:c>
      <x:c r="M26" s="126" t="n">
        <x:v>0</x:v>
      </x:c>
      <x:c r="N26" s="127"/>
      <x:c r="O26" s="128" t="n">
        <x:f>IF(OR(M26=0,N26=""),0,M26/N26)</x:f>
        <x:v>0</x:v>
      </x:c>
      <x:c r="P26" s="128" t="n">
        <x:f>L26+O26</x:f>
        <x:v>19957.314525342244</x:v>
      </x:c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0" t="n">
        <x:v>24</x:v>
      </x:c>
      <x:c r="B27" s="125" t="n">
        <x:f>B26*(1+'Hypothèses'!$B$37)</x:f>
        <x:v>2738.3084170285865</x:v>
      </x:c>
      <x:c r="C27" s="126" t="n">
        <x:v>0</x:v>
      </x:c>
      <x:c r="D27" s="127"/>
      <x:c r="E27" s="128" t="n">
        <x:f>IF(OR(C27=0,D27=""),0,C27/D27)</x:f>
        <x:v>0</x:v>
      </x:c>
      <x:c r="F27" s="128" t="n">
        <x:f>B27+E27</x:f>
        <x:v>2738.3084170285865</x:v>
      </x:c>
      <x:c r="G27" s="125" t="n">
        <x:f>G26*(1+'Hypothèses'!$C$37)</x:f>
        <x:v>9383.431526934944</x:v>
      </x:c>
      <x:c r="H27" s="126" t="n">
        <x:v>0</x:v>
      </x:c>
      <x:c r="I27" s="127"/>
      <x:c r="J27" s="128" t="n">
        <x:f>IF(OR(H27=0,I27=""),0,H27/I27)</x:f>
        <x:v>0</x:v>
      </x:c>
      <x:c r="K27" s="128" t="n">
        <x:f>G27+J27</x:f>
        <x:v>9383.431526934944</x:v>
      </x:c>
      <x:c r="L27" s="125" t="n">
        <x:f>L26*(1+'Hypothèses'!$D$37)</x:f>
        <x:v>21553.899687369627</x:v>
      </x:c>
      <x:c r="M27" s="126" t="n">
        <x:v>0</x:v>
      </x:c>
      <x:c r="N27" s="127"/>
      <x:c r="O27" s="128" t="n">
        <x:f>IF(OR(M27=0,N27=""),0,M27/N27)</x:f>
        <x:v>0</x:v>
      </x:c>
      <x:c r="P27" s="128" t="n">
        <x:f>L27+O27</x:f>
        <x:v>21553.899687369627</x:v>
      </x:c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 t="n">
        <x:v>25</x:v>
      </x:c>
      <x:c r="B28" s="125" t="n">
        <x:f>B27*(1+'Hypothèses'!$B$38)</x:f>
        <x:v>2793.0745853691583</x:v>
      </x:c>
      <x:c r="C28" s="126" t="n">
        <x:v>0</x:v>
      </x:c>
      <x:c r="D28" s="127"/>
      <x:c r="E28" s="128" t="n">
        <x:f>IF(OR(C28=0,D28=""),0,C28/D28)</x:f>
        <x:v>0</x:v>
      </x:c>
      <x:c r="F28" s="128" t="n">
        <x:f>B28+E28</x:f>
        <x:v>2793.0745853691583</x:v>
      </x:c>
      <x:c r="G28" s="125" t="n">
        <x:f>G27*(1+'Hypothèses'!$C$38)</x:f>
        <x:v>9758.768788012343</x:v>
      </x:c>
      <x:c r="H28" s="126" t="n">
        <x:v>0</x:v>
      </x:c>
      <x:c r="I28" s="127"/>
      <x:c r="J28" s="128" t="n">
        <x:f>IF(OR(H28=0,I28=""),0,H28/I28)</x:f>
        <x:v>0</x:v>
      </x:c>
      <x:c r="K28" s="128" t="n">
        <x:f>G28+J28</x:f>
        <x:v>9758.768788012343</x:v>
      </x:c>
      <x:c r="L28" s="125" t="n">
        <x:f>L27*(1+'Hypothèses'!$D$38)</x:f>
        <x:v>22847.133668611805</x:v>
      </x:c>
      <x:c r="M28" s="126" t="n">
        <x:v>0</x:v>
      </x:c>
      <x:c r="N28" s="127"/>
      <x:c r="O28" s="128" t="n">
        <x:f>IF(OR(M28=0,N28=""),0,M28/N28)</x:f>
        <x:v>0</x:v>
      </x:c>
      <x:c r="P28" s="128" t="n">
        <x:f>L28+O28</x:f>
        <x:v>22847.133668611805</x:v>
      </x:c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 t="n">
        <x:v>26</x:v>
      </x:c>
      <x:c r="B29" s="125" t="n">
        <x:f>B28*(1+'Hypothèses'!$B$38)</x:f>
        <x:v>2848.9360770765416</x:v>
      </x:c>
      <x:c r="C29" s="126" t="n">
        <x:v>0</x:v>
      </x:c>
      <x:c r="D29" s="127"/>
      <x:c r="E29" s="128" t="n">
        <x:f>IF(OR(C29=0,D29=""),0,C29/D29)</x:f>
        <x:v>0</x:v>
      </x:c>
      <x:c r="F29" s="128" t="n">
        <x:f>B29+E29</x:f>
        <x:v>2848.9360770765416</x:v>
      </x:c>
      <x:c r="G29" s="125" t="n">
        <x:f>G28*(1+'Hypothèses'!$C$38)</x:f>
        <x:v>10149.119539532838</x:v>
      </x:c>
      <x:c r="H29" s="126" t="n">
        <x:v>0</x:v>
      </x:c>
      <x:c r="I29" s="127"/>
      <x:c r="J29" s="128" t="n">
        <x:f>IF(OR(H29=0,I29=""),0,H29/I29)</x:f>
        <x:v>0</x:v>
      </x:c>
      <x:c r="K29" s="128" t="n">
        <x:f>G29+J29</x:f>
        <x:v>10149.119539532838</x:v>
      </x:c>
      <x:c r="L29" s="125" t="n">
        <x:f>L28*(1+'Hypothèses'!$D$38)</x:f>
        <x:v>24217.961688728516</x:v>
      </x:c>
      <x:c r="M29" s="126" t="n">
        <x:v>0</x:v>
      </x:c>
      <x:c r="N29" s="127"/>
      <x:c r="O29" s="128" t="n">
        <x:f>IF(OR(M29=0,N29=""),0,M29/N29)</x:f>
        <x:v>0</x:v>
      </x:c>
      <x:c r="P29" s="128" t="n">
        <x:f>L29+O29</x:f>
        <x:v>24217.961688728516</x:v>
      </x:c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 t="n">
        <x:v>27</x:v>
      </x:c>
      <x:c r="B30" s="125" t="n">
        <x:f>B29*(1+'Hypothèses'!$B$38)</x:f>
        <x:v>2905.9147986180724</x:v>
      </x:c>
      <x:c r="C30" s="126" t="n">
        <x:v>0</x:v>
      </x:c>
      <x:c r="D30" s="127"/>
      <x:c r="E30" s="128" t="n">
        <x:f>IF(OR(C30=0,D30=""),0,C30/D30)</x:f>
        <x:v>0</x:v>
      </x:c>
      <x:c r="F30" s="128" t="n">
        <x:f>B30+E30</x:f>
        <x:v>2905.9147986180724</x:v>
      </x:c>
      <x:c r="G30" s="125" t="n">
        <x:f>G29*(1+'Hypothèses'!$C$38)</x:f>
        <x:v>10555.084321114151</x:v>
      </x:c>
      <x:c r="H30" s="126" t="n">
        <x:v>0</x:v>
      </x:c>
      <x:c r="I30" s="127"/>
      <x:c r="J30" s="128" t="n">
        <x:f>IF(OR(H30=0,I30=""),0,H30/I30)</x:f>
        <x:v>0</x:v>
      </x:c>
      <x:c r="K30" s="128" t="n">
        <x:f>G30+J30</x:f>
        <x:v>10555.084321114151</x:v>
      </x:c>
      <x:c r="L30" s="125" t="n">
        <x:f>L29*(1+'Hypothèses'!$D$38)</x:f>
        <x:v>25671.03939005223</x:v>
      </x:c>
      <x:c r="M30" s="126" t="n">
        <x:v>0</x:v>
      </x:c>
      <x:c r="N30" s="127"/>
      <x:c r="O30" s="128" t="n">
        <x:f>IF(OR(M30=0,N30=""),0,M30/N30)</x:f>
        <x:v>0</x:v>
      </x:c>
      <x:c r="P30" s="128" t="n">
        <x:f>L30+O30</x:f>
        <x:v>25671.03939005223</x:v>
      </x:c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 t="n">
        <x:v>28</x:v>
      </x:c>
      <x:c r="B31" s="125" t="n">
        <x:f>B30*(1+'Hypothèses'!$B$38)</x:f>
        <x:v>2964.033094590434</x:v>
      </x:c>
      <x:c r="C31" s="126" t="n">
        <x:v>0</x:v>
      </x:c>
      <x:c r="D31" s="127"/>
      <x:c r="E31" s="128" t="n">
        <x:f>IF(OR(C31=0,D31=""),0,C31/D31)</x:f>
        <x:v>0</x:v>
      </x:c>
      <x:c r="F31" s="128" t="n">
        <x:f>B31+E31</x:f>
        <x:v>2964.033094590434</x:v>
      </x:c>
      <x:c r="G31" s="125" t="n">
        <x:f>G30*(1+'Hypothèses'!$C$38)</x:f>
        <x:v>10977.287693958717</x:v>
      </x:c>
      <x:c r="H31" s="126" t="n">
        <x:v>0</x:v>
      </x:c>
      <x:c r="I31" s="127"/>
      <x:c r="J31" s="128" t="n">
        <x:f>IF(OR(H31=0,I31=""),0,H31/I31)</x:f>
        <x:v>0</x:v>
      </x:c>
      <x:c r="K31" s="128" t="n">
        <x:f>G31+J31</x:f>
        <x:v>10977.287693958717</x:v>
      </x:c>
      <x:c r="L31" s="125" t="n">
        <x:f>L30*(1+'Hypothèses'!$D$38)</x:f>
        <x:v>27211.301753455362</x:v>
      </x:c>
      <x:c r="M31" s="126" t="n">
        <x:v>0</x:v>
      </x:c>
      <x:c r="N31" s="127"/>
      <x:c r="O31" s="128" t="n">
        <x:f>IF(OR(M31=0,N31=""),0,M31/N31)</x:f>
        <x:v>0</x:v>
      </x:c>
      <x:c r="P31" s="128" t="n">
        <x:f>L31+O31</x:f>
        <x:v>27211.301753455362</x:v>
      </x:c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 t="n">
        <x:v>29</x:v>
      </x:c>
      <x:c r="B32" s="125" t="n">
        <x:f>B31*(1+'Hypothèses'!$B$38)</x:f>
        <x:v>3023.3137564822428</x:v>
      </x:c>
      <x:c r="C32" s="126" t="n">
        <x:v>0</x:v>
      </x:c>
      <x:c r="D32" s="127"/>
      <x:c r="E32" s="128" t="n">
        <x:f>IF(OR(C32=0,D32=""),0,C32/D32)</x:f>
        <x:v>0</x:v>
      </x:c>
      <x:c r="F32" s="128" t="n">
        <x:f>B32+E32</x:f>
        <x:v>3023.3137564822428</x:v>
      </x:c>
      <x:c r="G32" s="125" t="n">
        <x:f>G31*(1+'Hypothèses'!$C$38)</x:f>
        <x:v>11416.379201717065</x:v>
      </x:c>
      <x:c r="H32" s="126" t="n">
        <x:v>0</x:v>
      </x:c>
      <x:c r="I32" s="127"/>
      <x:c r="J32" s="128" t="n">
        <x:f>IF(OR(H32=0,I32=""),0,H32/I32)</x:f>
        <x:v>0</x:v>
      </x:c>
      <x:c r="K32" s="128" t="n">
        <x:f>G32+J32</x:f>
        <x:v>11416.379201717065</x:v>
      </x:c>
      <x:c r="L32" s="125" t="n">
        <x:f>L31*(1+'Hypothèses'!$D$38)</x:f>
        <x:v>28843.979858662686</x:v>
      </x:c>
      <x:c r="M32" s="126" t="n">
        <x:v>0</x:v>
      </x:c>
      <x:c r="N32" s="127"/>
      <x:c r="O32" s="128" t="n">
        <x:f>IF(OR(M32=0,N32=""),0,M32/N32)</x:f>
        <x:v>0</x:v>
      </x:c>
      <x:c r="P32" s="128" t="n">
        <x:f>L32+O32</x:f>
        <x:v>28843.979858662686</x:v>
      </x:c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 t="n">
        <x:v>30</x:v>
      </x:c>
      <x:c r="B33" s="125" t="n">
        <x:f>B32*(1+'Hypothèses'!$B$38)</x:f>
        <x:v>3083.780031611888</x:v>
      </x:c>
      <x:c r="C33" s="126" t="n">
        <x:v>0</x:v>
      </x:c>
      <x:c r="D33" s="127"/>
      <x:c r="E33" s="128" t="n">
        <x:f>IF(OR(C33=0,D33=""),0,C33/D33)</x:f>
        <x:v>0</x:v>
      </x:c>
      <x:c r="F33" s="128" t="n">
        <x:f>B33+E33</x:f>
        <x:v>3083.780031611888</x:v>
      </x:c>
      <x:c r="G33" s="125" t="n">
        <x:f>G32*(1+'Hypothèses'!$C$38)</x:f>
        <x:v>11873.034369785748</x:v>
      </x:c>
      <x:c r="H33" s="126" t="n">
        <x:v>0</x:v>
      </x:c>
      <x:c r="I33" s="127"/>
      <x:c r="J33" s="128" t="n">
        <x:f>IF(OR(H33=0,I33=""),0,H33/I33)</x:f>
        <x:v>0</x:v>
      </x:c>
      <x:c r="K33" s="128" t="n">
        <x:f>G33+J33</x:f>
        <x:v>11873.034369785748</x:v>
      </x:c>
      <x:c r="L33" s="125" t="n">
        <x:f>L32*(1+'Hypothèses'!$D$38)</x:f>
        <x:v>30574.61865018245</x:v>
      </x:c>
      <x:c r="M33" s="126" t="n">
        <x:v>0</x:v>
      </x:c>
      <x:c r="N33" s="127"/>
      <x:c r="O33" s="128" t="n">
        <x:f>IF(OR(M33=0,N33=""),0,M33/N33)</x:f>
        <x:v>0</x:v>
      </x:c>
      <x:c r="P33" s="128" t="n">
        <x:f>L33+O33</x:f>
        <x:v>30574.61865018245</x:v>
      </x:c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 t="n">
        <x:v>31</x:v>
      </x:c>
      <x:c r="B34" s="125" t="n">
        <x:f>B33*(1+'Hypothèses'!$B$38)</x:f>
        <x:v>3145.455632244126</x:v>
      </x:c>
      <x:c r="C34" s="126" t="n">
        <x:v>0</x:v>
      </x:c>
      <x:c r="D34" s="127"/>
      <x:c r="E34" s="128" t="n">
        <x:f>IF(OR(C34=0,D34=""),0,C34/D34)</x:f>
        <x:v>0</x:v>
      </x:c>
      <x:c r="F34" s="128" t="n">
        <x:f>B34+E34</x:f>
        <x:v>3145.455632244126</x:v>
      </x:c>
      <x:c r="G34" s="125" t="n">
        <x:f>G33*(1+'Hypothèses'!$C$38)</x:f>
        <x:v>12347.955744577179</x:v>
      </x:c>
      <x:c r="H34" s="126" t="n">
        <x:v>0</x:v>
      </x:c>
      <x:c r="I34" s="127"/>
      <x:c r="J34" s="128" t="n">
        <x:f>IF(OR(H34=0,I34=""),0,H34/I34)</x:f>
        <x:v>0</x:v>
      </x:c>
      <x:c r="K34" s="128" t="n">
        <x:f>G34+J34</x:f>
        <x:v>12347.955744577179</x:v>
      </x:c>
      <x:c r="L34" s="125" t="n">
        <x:f>L33*(1+'Hypothèses'!$D$38)</x:f>
        <x:v>32409.095769193398</x:v>
      </x:c>
      <x:c r="M34" s="126" t="n">
        <x:v>0</x:v>
      </x:c>
      <x:c r="N34" s="127"/>
      <x:c r="O34" s="128" t="n">
        <x:f>IF(OR(M34=0,N34=""),0,M34/N34)</x:f>
        <x:v>0</x:v>
      </x:c>
      <x:c r="P34" s="128" t="n">
        <x:f>L34+O34</x:f>
        <x:v>32409.095769193398</x:v>
      </x:c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 t="n">
        <x:v>32</x:v>
      </x:c>
      <x:c r="B35" s="125" t="n">
        <x:f>B34*(1+'Hypothèses'!$B$38)</x:f>
        <x:v>3208.3647448890083</x:v>
      </x:c>
      <x:c r="C35" s="126" t="n">
        <x:v>0</x:v>
      </x:c>
      <x:c r="D35" s="127"/>
      <x:c r="E35" s="128" t="n">
        <x:f>IF(OR(C35=0,D35=""),0,C35/D35)</x:f>
        <x:v>0</x:v>
      </x:c>
      <x:c r="F35" s="128" t="n">
        <x:f>B35+E35</x:f>
        <x:v>3208.3647448890083</x:v>
      </x:c>
      <x:c r="G35" s="125" t="n">
        <x:f>G34*(1+'Hypothèses'!$C$38)</x:f>
        <x:v>12841.873974360267</x:v>
      </x:c>
      <x:c r="H35" s="126" t="n">
        <x:v>0</x:v>
      </x:c>
      <x:c r="I35" s="127"/>
      <x:c r="J35" s="128" t="n">
        <x:f>IF(OR(H35=0,I35=""),0,H35/I35)</x:f>
        <x:v>0</x:v>
      </x:c>
      <x:c r="K35" s="128" t="n">
        <x:f>G35+J35</x:f>
        <x:v>12841.873974360267</x:v>
      </x:c>
      <x:c r="L35" s="125" t="n">
        <x:f>L34*(1+'Hypothèses'!$D$38)</x:f>
        <x:v>34353.64151534501</x:v>
      </x:c>
      <x:c r="M35" s="126" t="n">
        <x:v>0</x:v>
      </x:c>
      <x:c r="N35" s="127"/>
      <x:c r="O35" s="128" t="n">
        <x:f>IF(OR(M35=0,N35=""),0,M35/N35)</x:f>
        <x:v>0</x:v>
      </x:c>
      <x:c r="P35" s="128" t="n">
        <x:f>L35+O35</x:f>
        <x:v>34353.64151534501</x:v>
      </x:c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 t="n">
        <x:v>33</x:v>
      </x:c>
      <x:c r="B36" s="125" t="n">
        <x:f>B35*(1+'Hypothèses'!$B$38)</x:f>
        <x:v>3272.5320397867886</x:v>
      </x:c>
      <x:c r="C36" s="126" t="n">
        <x:v>0</x:v>
      </x:c>
      <x:c r="D36" s="127"/>
      <x:c r="E36" s="128" t="n">
        <x:f>IF(OR(C36=0,D36=""),0,C36/D36)</x:f>
        <x:v>0</x:v>
      </x:c>
      <x:c r="F36" s="128" t="n">
        <x:f>B36+E36</x:f>
        <x:v>3272.5320397867886</x:v>
      </x:c>
      <x:c r="G36" s="125" t="n">
        <x:f>G35*(1+'Hypothèses'!$C$38)</x:f>
        <x:v>13355.548933334678</x:v>
      </x:c>
      <x:c r="H36" s="126" t="n">
        <x:v>0</x:v>
      </x:c>
      <x:c r="I36" s="127"/>
      <x:c r="J36" s="128" t="n">
        <x:f>IF(OR(H36=0,I36=""),0,H36/I36)</x:f>
        <x:v>0</x:v>
      </x:c>
      <x:c r="K36" s="128" t="n">
        <x:f>G36+J36</x:f>
        <x:v>13355.548933334678</x:v>
      </x:c>
      <x:c r="L36" s="125" t="n">
        <x:f>L35*(1+'Hypothèses'!$D$38)</x:f>
        <x:v>36414.860006265706</x:v>
      </x:c>
      <x:c r="M36" s="126" t="n">
        <x:v>0</x:v>
      </x:c>
      <x:c r="N36" s="127"/>
      <x:c r="O36" s="128" t="n">
        <x:f>IF(OR(M36=0,N36=""),0,M36/N36)</x:f>
        <x:v>0</x:v>
      </x:c>
      <x:c r="P36" s="128" t="n">
        <x:f>L36+O36</x:f>
        <x:v>36414.860006265706</x:v>
      </x:c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 t="n">
        <x:v>34</x:v>
      </x:c>
      <x:c r="B37" s="125" t="n">
        <x:f>B36*(1+'Hypothèses'!$B$38)</x:f>
        <x:v>3337.9826805825246</x:v>
      </x:c>
      <x:c r="C37" s="126" t="n">
        <x:v>0</x:v>
      </x:c>
      <x:c r="D37" s="127"/>
      <x:c r="E37" s="128" t="n">
        <x:f>IF(OR(C37=0,D37=""),0,C37/D37)</x:f>
        <x:v>0</x:v>
      </x:c>
      <x:c r="F37" s="128" t="n">
        <x:f>B37+E37</x:f>
        <x:v>3337.9826805825246</x:v>
      </x:c>
      <x:c r="G37" s="125" t="n">
        <x:f>G36*(1+'Hypothèses'!$C$38)</x:f>
        <x:v>13889.770890668065</x:v>
      </x:c>
      <x:c r="H37" s="126" t="n">
        <x:v>0</x:v>
      </x:c>
      <x:c r="I37" s="127"/>
      <x:c r="J37" s="128" t="n">
        <x:f>IF(OR(H37=0,I37=""),0,H37/I37)</x:f>
        <x:v>0</x:v>
      </x:c>
      <x:c r="K37" s="128" t="n">
        <x:f>G37+J37</x:f>
        <x:v>13889.770890668065</x:v>
      </x:c>
      <x:c r="L37" s="125" t="n">
        <x:f>L36*(1+'Hypothèses'!$D$38)</x:f>
        <x:v>38599.75160664165</x:v>
      </x:c>
      <x:c r="M37" s="126" t="n">
        <x:v>0</x:v>
      </x:c>
      <x:c r="N37" s="127"/>
      <x:c r="O37" s="128" t="n">
        <x:f>IF(OR(M37=0,N37=""),0,M37/N37)</x:f>
        <x:v>0</x:v>
      </x:c>
      <x:c r="P37" s="128" t="n">
        <x:f>L37+O37</x:f>
        <x:v>38599.75160664165</x:v>
      </x:c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 t="n">
        <x:v>35</x:v>
      </x:c>
      <x:c r="B38" s="125" t="n">
        <x:f>B37*(1+'Hypothèses'!$B$38)</x:f>
        <x:v>3404.7423341941753</x:v>
      </x:c>
      <x:c r="C38" s="126" t="n">
        <x:v>0</x:v>
      </x:c>
      <x:c r="D38" s="127"/>
      <x:c r="E38" s="128" t="n">
        <x:f>IF(OR(C38=0,D38=""),0,C38/D38)</x:f>
        <x:v>0</x:v>
      </x:c>
      <x:c r="F38" s="128" t="n">
        <x:f>B38+E38</x:f>
        <x:v>3404.7423341941753</x:v>
      </x:c>
      <x:c r="G38" s="125" t="n">
        <x:f>G37*(1+'Hypothèses'!$C$38)</x:f>
        <x:v>14445.361726294788</x:v>
      </x:c>
      <x:c r="H38" s="126" t="n">
        <x:v>0</x:v>
      </x:c>
      <x:c r="I38" s="127"/>
      <x:c r="J38" s="128" t="n">
        <x:f>IF(OR(H38=0,I38=""),0,H38/I38)</x:f>
        <x:v>0</x:v>
      </x:c>
      <x:c r="K38" s="128" t="n">
        <x:f>G38+J38</x:f>
        <x:v>14445.361726294788</x:v>
      </x:c>
      <x:c r="L38" s="125" t="n">
        <x:f>L37*(1+'Hypothèses'!$D$38)</x:f>
        <x:v>40915.73670304015</x:v>
      </x:c>
      <x:c r="M38" s="126" t="n">
        <x:v>0</x:v>
      </x:c>
      <x:c r="N38" s="127"/>
      <x:c r="O38" s="128" t="n">
        <x:f>IF(OR(M38=0,N38=""),0,M38/N38)</x:f>
        <x:v>0</x:v>
      </x:c>
      <x:c r="P38" s="128" t="n">
        <x:f>L38+O38</x:f>
        <x:v>40915.73670304015</x:v>
      </x:c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 t="n">
        <x:v>36</x:v>
      </x:c>
      <x:c r="B39" s="125" t="n">
        <x:f>B38*(1+'Hypothèses'!$B$38)</x:f>
        <x:v>3472.837180878059</x:v>
      </x:c>
      <x:c r="C39" s="126" t="n">
        <x:v>0</x:v>
      </x:c>
      <x:c r="D39" s="127"/>
      <x:c r="E39" s="128" t="n">
        <x:f>IF(OR(C39=0,D39=""),0,C39/D39)</x:f>
        <x:v>0</x:v>
      </x:c>
      <x:c r="F39" s="128" t="n">
        <x:f>B39+E39</x:f>
        <x:v>3472.837180878059</x:v>
      </x:c>
      <x:c r="G39" s="125" t="n">
        <x:f>G38*(1+'Hypothèses'!$C$38)</x:f>
        <x:v>15023.176195346581</x:v>
      </x:c>
      <x:c r="H39" s="126" t="n">
        <x:v>0</x:v>
      </x:c>
      <x:c r="I39" s="127"/>
      <x:c r="J39" s="128" t="n">
        <x:f>IF(OR(H39=0,I39=""),0,H39/I39)</x:f>
        <x:v>0</x:v>
      </x:c>
      <x:c r="K39" s="128" t="n">
        <x:f>G39+J39</x:f>
        <x:v>15023.176195346581</x:v>
      </x:c>
      <x:c r="L39" s="125" t="n">
        <x:f>L38*(1+'Hypothèses'!$D$38)</x:f>
        <x:v>43370.680905222565</x:v>
      </x:c>
      <x:c r="M39" s="126" t="n">
        <x:v>0</x:v>
      </x:c>
      <x:c r="N39" s="127"/>
      <x:c r="O39" s="128" t="n">
        <x:f>IF(OR(M39=0,N39=""),0,M39/N39)</x:f>
        <x:v>0</x:v>
      </x:c>
      <x:c r="P39" s="128" t="n">
        <x:f>L39+O39</x:f>
        <x:v>43370.680905222565</x:v>
      </x:c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</x:sheetData>
  <x:mergeCells>
    <x:mergeCell ref="A1:P1"/>
    <x:mergeCell ref="A2:P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</x:cols>
  <x:sheetData>
    <x:row r="1">
      <x:c r="A1" s="90" t="str">
        <x:v>WHERIS — MAU par âge de cohorte</x:v>
      </x:c>
      <x:c r="B1" s="90"/>
      <x:c r="C1" s="90"/>
      <x:c r="D1" s="90"/>
      <x:c r="E1" s="90"/>
      <x:c r="F1" s="80"/>
      <x:c r="G1" s="80"/>
      <x:c r="H1" s="80"/>
      <x:c r="I1" s="80"/>
      <x:c r="J1" s="80"/>
      <x:c r="K1" s="80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80" t="str">
        <x:v>Saisis en colonne C le taux d'utilisateurs actifs observé pour chaque âge de cohorte. Vide = fallback historique de 20%. Ces taux sont des ratios d'activité mensuelle, pas des coordonnées ni du contenu de lieux.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93" t="str">
        <x:v>Âge cohorte (mois)</x:v>
      </x:c>
      <x:c r="B3" s="93" t="str">
        <x:v>Fallback historique</x:v>
      </x:c>
      <x:c r="C3" s="93" t="str">
        <x:v>Taux observé</x:v>
      </x:c>
      <x:c r="D3" s="93" t="str">
        <x:v>Taux effectif</x:v>
      </x:c>
      <x:c r="E3" s="93" t="str">
        <x:v>Note</x:v>
      </x:c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80" t="n">
        <x:v>0</x:v>
      </x:c>
      <x:c r="B4" s="122" t="n">
        <x:f>'Hypothèses'!$B$11</x:f>
        <x:v>0.2</x:v>
      </x:c>
      <x:c r="C4" s="129"/>
      <x:c r="D4" s="85" t="n">
        <x:f>IF(C4="",B4,C4)</x:f>
        <x:v>0.2</x:v>
      </x:c>
      <x:c r="E4" s="80" t="str">
        <x:v>Fallback</x:v>
      </x:c>
      <x:c r="F4" s="80"/>
      <x:c r="G4" s="80"/>
      <x:c r="H4" s="80"/>
      <x:c r="I4" s="80"/>
      <x:c r="J4" s="8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0" t="n">
        <x:v>1</x:v>
      </x:c>
      <x:c r="B5" s="122" t="n">
        <x:f>'Hypothèses'!$B$11</x:f>
        <x:v>0.2</x:v>
      </x:c>
      <x:c r="C5" s="129"/>
      <x:c r="D5" s="85" t="n">
        <x:f>IF(C5="",B5,C5)</x:f>
        <x:v>0.2</x:v>
      </x:c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0" t="n">
        <x:v>2</x:v>
      </x:c>
      <x:c r="B6" s="122" t="n">
        <x:f>'Hypothèses'!$B$11</x:f>
        <x:v>0.2</x:v>
      </x:c>
      <x:c r="C6" s="129"/>
      <x:c r="D6" s="85" t="n">
        <x:f>IF(C6="",B6,C6)</x:f>
        <x:v>0.2</x:v>
      </x:c>
      <x:c r="E6" s="80"/>
      <x:c r="F6" s="80"/>
      <x:c r="G6" s="80"/>
      <x:c r="H6" s="80"/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0" t="n">
        <x:v>3</x:v>
      </x:c>
      <x:c r="B7" s="122" t="n">
        <x:f>'Hypothèses'!$B$11</x:f>
        <x:v>0.2</x:v>
      </x:c>
      <x:c r="C7" s="129"/>
      <x:c r="D7" s="85" t="n">
        <x:f>IF(C7="",B7,C7)</x:f>
        <x:v>0.2</x:v>
      </x:c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80" t="n">
        <x:v>4</x:v>
      </x:c>
      <x:c r="B8" s="122" t="n">
        <x:f>'Hypothèses'!$B$11</x:f>
        <x:v>0.2</x:v>
      </x:c>
      <x:c r="C8" s="129"/>
      <x:c r="D8" s="85" t="n">
        <x:f>IF(C8="",B8,C8)</x:f>
        <x:v>0.2</x:v>
      </x:c>
      <x:c r="E8" s="80"/>
      <x:c r="F8" s="80"/>
      <x:c r="G8" s="8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0" t="n">
        <x:v>5</x:v>
      </x:c>
      <x:c r="B9" s="122" t="n">
        <x:f>'Hypothèses'!$B$11</x:f>
        <x:v>0.2</x:v>
      </x:c>
      <x:c r="C9" s="129"/>
      <x:c r="D9" s="85" t="n">
        <x:f>IF(C9="",B9,C9)</x:f>
        <x:v>0.2</x:v>
      </x:c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0" t="n">
        <x:v>6</x:v>
      </x:c>
      <x:c r="B10" s="122" t="n">
        <x:f>'Hypothèses'!$B$11</x:f>
        <x:v>0.2</x:v>
      </x:c>
      <x:c r="C10" s="129"/>
      <x:c r="D10" s="85" t="n">
        <x:f>IF(C10="",B10,C10)</x:f>
        <x:v>0.2</x:v>
      </x:c>
      <x:c r="E10" s="80"/>
      <x:c r="F10" s="80"/>
      <x:c r="G10" s="80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0" t="n">
        <x:v>7</x:v>
      </x:c>
      <x:c r="B11" s="122" t="n">
        <x:f>'Hypothèses'!$B$11</x:f>
        <x:v>0.2</x:v>
      </x:c>
      <x:c r="C11" s="129"/>
      <x:c r="D11" s="85" t="n">
        <x:f>IF(C11="",B11,C11)</x:f>
        <x:v>0.2</x:v>
      </x:c>
      <x:c r="E11" s="80"/>
      <x:c r="F11" s="80"/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80" t="n">
        <x:v>8</x:v>
      </x:c>
      <x:c r="B12" s="122" t="n">
        <x:f>'Hypothèses'!$B$11</x:f>
        <x:v>0.2</x:v>
      </x:c>
      <x:c r="C12" s="129"/>
      <x:c r="D12" s="85" t="n">
        <x:f>IF(C12="",B12,C12)</x:f>
        <x:v>0.2</x:v>
      </x:c>
      <x:c r="E12" s="80"/>
      <x:c r="F12" s="80"/>
      <x:c r="G12" s="8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0" t="n">
        <x:v>9</x:v>
      </x:c>
      <x:c r="B13" s="122" t="n">
        <x:f>'Hypothèses'!$B$11</x:f>
        <x:v>0.2</x:v>
      </x:c>
      <x:c r="C13" s="129"/>
      <x:c r="D13" s="85" t="n">
        <x:f>IF(C13="",B13,C13)</x:f>
        <x:v>0.2</x:v>
      </x:c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0" t="n">
        <x:v>10</x:v>
      </x:c>
      <x:c r="B14" s="122" t="n">
        <x:f>'Hypothèses'!$B$11</x:f>
        <x:v>0.2</x:v>
      </x:c>
      <x:c r="C14" s="129"/>
      <x:c r="D14" s="85" t="n">
        <x:f>IF(C14="",B14,C14)</x:f>
        <x:v>0.2</x:v>
      </x:c>
      <x:c r="E14" s="80"/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0" t="n">
        <x:v>11</x:v>
      </x:c>
      <x:c r="B15" s="122" t="n">
        <x:f>'Hypothèses'!$B$11</x:f>
        <x:v>0.2</x:v>
      </x:c>
      <x:c r="C15" s="129"/>
      <x:c r="D15" s="85" t="n">
        <x:f>IF(C15="",B15,C15)</x:f>
        <x:v>0.2</x:v>
      </x:c>
      <x:c r="E15" s="80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0" t="n">
        <x:v>12</x:v>
      </x:c>
      <x:c r="B16" s="122" t="n">
        <x:f>'Hypothèses'!$B$11</x:f>
        <x:v>0.2</x:v>
      </x:c>
      <x:c r="C16" s="129"/>
      <x:c r="D16" s="85" t="n">
        <x:f>IF(C16="",B16,C16)</x:f>
        <x:v>0.2</x:v>
      </x:c>
      <x:c r="E16" s="80"/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0" t="n">
        <x:v>13</x:v>
      </x:c>
      <x:c r="B17" s="122" t="n">
        <x:f>'Hypothèses'!$B$11</x:f>
        <x:v>0.2</x:v>
      </x:c>
      <x:c r="C17" s="129"/>
      <x:c r="D17" s="85" t="n">
        <x:f>IF(C17="",B17,C17)</x:f>
        <x:v>0.2</x:v>
      </x:c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0" t="n">
        <x:v>14</x:v>
      </x:c>
      <x:c r="B18" s="122" t="n">
        <x:f>'Hypothèses'!$B$11</x:f>
        <x:v>0.2</x:v>
      </x:c>
      <x:c r="C18" s="129"/>
      <x:c r="D18" s="85" t="n">
        <x:f>IF(C18="",B18,C18)</x:f>
        <x:v>0.2</x:v>
      </x:c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0" t="n">
        <x:v>15</x:v>
      </x:c>
      <x:c r="B19" s="122" t="n">
        <x:f>'Hypothèses'!$B$11</x:f>
        <x:v>0.2</x:v>
      </x:c>
      <x:c r="C19" s="129"/>
      <x:c r="D19" s="85" t="n">
        <x:f>IF(C19="",B19,C19)</x:f>
        <x:v>0.2</x:v>
      </x:c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0" t="n">
        <x:v>16</x:v>
      </x:c>
      <x:c r="B20" s="122" t="n">
        <x:f>'Hypothèses'!$B$11</x:f>
        <x:v>0.2</x:v>
      </x:c>
      <x:c r="C20" s="129"/>
      <x:c r="D20" s="85" t="n">
        <x:f>IF(C20="",B20,C20)</x:f>
        <x:v>0.2</x:v>
      </x:c>
      <x:c r="E20" s="80"/>
      <x:c r="F20" s="80"/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0" t="n">
        <x:v>17</x:v>
      </x:c>
      <x:c r="B21" s="122" t="n">
        <x:f>'Hypothèses'!$B$11</x:f>
        <x:v>0.2</x:v>
      </x:c>
      <x:c r="C21" s="129"/>
      <x:c r="D21" s="85" t="n">
        <x:f>IF(C21="",B21,C21)</x:f>
        <x:v>0.2</x:v>
      </x:c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0" t="n">
        <x:v>18</x:v>
      </x:c>
      <x:c r="B22" s="122" t="n">
        <x:f>'Hypothèses'!$B$11</x:f>
        <x:v>0.2</x:v>
      </x:c>
      <x:c r="C22" s="129"/>
      <x:c r="D22" s="85" t="n">
        <x:f>IF(C22="",B22,C22)</x:f>
        <x:v>0.2</x:v>
      </x:c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0" t="n">
        <x:v>19</x:v>
      </x:c>
      <x:c r="B23" s="122" t="n">
        <x:f>'Hypothèses'!$B$11</x:f>
        <x:v>0.2</x:v>
      </x:c>
      <x:c r="C23" s="129"/>
      <x:c r="D23" s="85" t="n">
        <x:f>IF(C23="",B23,C23)</x:f>
        <x:v>0.2</x:v>
      </x:c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0" t="n">
        <x:v>20</x:v>
      </x:c>
      <x:c r="B24" s="122" t="n">
        <x:f>'Hypothèses'!$B$11</x:f>
        <x:v>0.2</x:v>
      </x:c>
      <x:c r="C24" s="129"/>
      <x:c r="D24" s="85" t="n">
        <x:f>IF(C24="",B24,C24)</x:f>
        <x:v>0.2</x:v>
      </x:c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0" t="n">
        <x:v>21</x:v>
      </x:c>
      <x:c r="B25" s="122" t="n">
        <x:f>'Hypothèses'!$B$11</x:f>
        <x:v>0.2</x:v>
      </x:c>
      <x:c r="C25" s="129"/>
      <x:c r="D25" s="85" t="n">
        <x:f>IF(C25="",B25,C25)</x:f>
        <x:v>0.2</x:v>
      </x:c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0" t="n">
        <x:v>22</x:v>
      </x:c>
      <x:c r="B26" s="122" t="n">
        <x:f>'Hypothèses'!$B$11</x:f>
        <x:v>0.2</x:v>
      </x:c>
      <x:c r="C26" s="129"/>
      <x:c r="D26" s="85" t="n">
        <x:f>IF(C26="",B26,C26)</x:f>
        <x:v>0.2</x:v>
      </x:c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0" t="n">
        <x:v>23</x:v>
      </x:c>
      <x:c r="B27" s="122" t="n">
        <x:f>'Hypothèses'!$B$11</x:f>
        <x:v>0.2</x:v>
      </x:c>
      <x:c r="C27" s="129"/>
      <x:c r="D27" s="85" t="n">
        <x:f>IF(C27="",B27,C27)</x:f>
        <x:v>0.2</x:v>
      </x:c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 t="n">
        <x:v>24</x:v>
      </x:c>
      <x:c r="B28" s="122" t="n">
        <x:f>'Hypothèses'!$B$11</x:f>
        <x:v>0.2</x:v>
      </x:c>
      <x:c r="C28" s="129"/>
      <x:c r="D28" s="85" t="n">
        <x:f>IF(C28="",B28,C28)</x:f>
        <x:v>0.2</x:v>
      </x:c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 t="n">
        <x:v>25</x:v>
      </x:c>
      <x:c r="B29" s="122" t="n">
        <x:f>'Hypothèses'!$B$11</x:f>
        <x:v>0.2</x:v>
      </x:c>
      <x:c r="C29" s="129"/>
      <x:c r="D29" s="85" t="n">
        <x:f>IF(C29="",B29,C29)</x:f>
        <x:v>0.2</x:v>
      </x:c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 t="n">
        <x:v>26</x:v>
      </x:c>
      <x:c r="B30" s="122" t="n">
        <x:f>'Hypothèses'!$B$11</x:f>
        <x:v>0.2</x:v>
      </x:c>
      <x:c r="C30" s="129"/>
      <x:c r="D30" s="85" t="n">
        <x:f>IF(C30="",B30,C30)</x:f>
        <x:v>0.2</x:v>
      </x:c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 t="n">
        <x:v>27</x:v>
      </x:c>
      <x:c r="B31" s="122" t="n">
        <x:f>'Hypothèses'!$B$11</x:f>
        <x:v>0.2</x:v>
      </x:c>
      <x:c r="C31" s="129"/>
      <x:c r="D31" s="85" t="n">
        <x:f>IF(C31="",B31,C31)</x:f>
        <x:v>0.2</x:v>
      </x:c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 t="n">
        <x:v>28</x:v>
      </x:c>
      <x:c r="B32" s="122" t="n">
        <x:f>'Hypothèses'!$B$11</x:f>
        <x:v>0.2</x:v>
      </x:c>
      <x:c r="C32" s="129"/>
      <x:c r="D32" s="85" t="n">
        <x:f>IF(C32="",B32,C32)</x:f>
        <x:v>0.2</x:v>
      </x:c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 t="n">
        <x:v>29</x:v>
      </x:c>
      <x:c r="B33" s="122" t="n">
        <x:f>'Hypothèses'!$B$11</x:f>
        <x:v>0.2</x:v>
      </x:c>
      <x:c r="C33" s="129"/>
      <x:c r="D33" s="85" t="n">
        <x:f>IF(C33="",B33,C33)</x:f>
        <x:v>0.2</x:v>
      </x:c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 t="n">
        <x:v>30</x:v>
      </x:c>
      <x:c r="B34" s="122" t="n">
        <x:f>'Hypothèses'!$B$11</x:f>
        <x:v>0.2</x:v>
      </x:c>
      <x:c r="C34" s="129"/>
      <x:c r="D34" s="85" t="n">
        <x:f>IF(C34="",B34,C34)</x:f>
        <x:v>0.2</x:v>
      </x:c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 t="n">
        <x:v>31</x:v>
      </x:c>
      <x:c r="B35" s="122" t="n">
        <x:f>'Hypothèses'!$B$11</x:f>
        <x:v>0.2</x:v>
      </x:c>
      <x:c r="C35" s="129"/>
      <x:c r="D35" s="85" t="n">
        <x:f>IF(C35="",B35,C35)</x:f>
        <x:v>0.2</x:v>
      </x:c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 t="n">
        <x:v>32</x:v>
      </x:c>
      <x:c r="B36" s="122" t="n">
        <x:f>'Hypothèses'!$B$11</x:f>
        <x:v>0.2</x:v>
      </x:c>
      <x:c r="C36" s="129"/>
      <x:c r="D36" s="85" t="n">
        <x:f>IF(C36="",B36,C36)</x:f>
        <x:v>0.2</x:v>
      </x:c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 t="n">
        <x:v>33</x:v>
      </x:c>
      <x:c r="B37" s="122" t="n">
        <x:f>'Hypothèses'!$B$11</x:f>
        <x:v>0.2</x:v>
      </x:c>
      <x:c r="C37" s="129"/>
      <x:c r="D37" s="85" t="n">
        <x:f>IF(C37="",B37,C37)</x:f>
        <x:v>0.2</x:v>
      </x:c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 t="n">
        <x:v>34</x:v>
      </x:c>
      <x:c r="B38" s="122" t="n">
        <x:f>'Hypothèses'!$B$11</x:f>
        <x:v>0.2</x:v>
      </x:c>
      <x:c r="C38" s="129"/>
      <x:c r="D38" s="85" t="n">
        <x:f>IF(C38="",B38,C38)</x:f>
        <x:v>0.2</x:v>
      </x:c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 t="n">
        <x:v>35</x:v>
      </x:c>
      <x:c r="B39" s="122" t="n">
        <x:f>'Hypothèses'!$B$11</x:f>
        <x:v>0.2</x:v>
      </x:c>
      <x:c r="C39" s="129"/>
      <x:c r="D39" s="85" t="n">
        <x:f>IF(C39="",B39,C39)</x:f>
        <x:v>0.2</x:v>
      </x:c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</x:sheetData>
  <x:mergeCells>
    <x:mergeCell ref="A1:E1"/>
    <x:mergeCell ref="A2:E2"/>
  </x:mergeCells>
  <x:pageMargins left="0.7" right="0.7" top="0.75" bottom="0.75" header="0.3" footer="0.3"/>
</x:worksheet>
</file>